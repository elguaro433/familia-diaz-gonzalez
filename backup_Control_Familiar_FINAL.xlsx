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.xml" ContentType="application/vnd.openxmlformats-officedocument.spreadsheetml.worksheet+xml"/>
  <Override PartName="/xl/worksheets/sheet45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6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viembre 2022" sheetId="1" state="visible" r:id="rId3"/>
    <sheet name="Diciembre 2022" sheetId="2" state="visible" r:id="rId4"/>
    <sheet name="Enero 2023" sheetId="3" state="visible" r:id="rId5"/>
    <sheet name="Febrero 2023" sheetId="4" state="visible" r:id="rId6"/>
    <sheet name="Marzo 2023" sheetId="5" state="visible" r:id="rId7"/>
    <sheet name="Abril 2023" sheetId="6" state="visible" r:id="rId8"/>
    <sheet name="Mayo 2023" sheetId="7" state="visible" r:id="rId9"/>
    <sheet name="Junio 2023" sheetId="8" state="visible" r:id="rId10"/>
    <sheet name="Julio 2023" sheetId="9" state="visible" r:id="rId11"/>
    <sheet name="Agosto 2023" sheetId="10" state="visible" r:id="rId12"/>
    <sheet name="Septiembre 2023" sheetId="11" state="visible" r:id="rId13"/>
    <sheet name="Octubre 2023" sheetId="12" state="visible" r:id="rId14"/>
    <sheet name="Noviembre 2023" sheetId="13" state="visible" r:id="rId15"/>
    <sheet name="Diciembre 2023" sheetId="14" state="visible" r:id="rId16"/>
    <sheet name="Enero 2024" sheetId="15" state="visible" r:id="rId17"/>
    <sheet name="Febrero 2024" sheetId="16" state="visible" r:id="rId18"/>
    <sheet name="Marzo 2024" sheetId="17" state="visible" r:id="rId19"/>
    <sheet name="Abril 2024" sheetId="18" state="visible" r:id="rId20"/>
    <sheet name="Mayo 2024" sheetId="19" state="visible" r:id="rId21"/>
    <sheet name="Junio 2024" sheetId="20" state="visible" r:id="rId22"/>
    <sheet name="Julio 2024" sheetId="21" state="visible" r:id="rId23"/>
    <sheet name="Agosto 2024" sheetId="22" state="visible" r:id="rId24"/>
    <sheet name="Septiembre 2024" sheetId="23" state="visible" r:id="rId25"/>
    <sheet name="Octubre 2024" sheetId="24" state="visible" r:id="rId26"/>
    <sheet name="Noviembre 2024" sheetId="25" state="visible" r:id="rId27"/>
    <sheet name="Diciembre 2024" sheetId="26" state="visible" r:id="rId28"/>
    <sheet name="Enero 2025" sheetId="27" state="visible" r:id="rId29"/>
    <sheet name="Febrero 2025" sheetId="28" state="visible" r:id="rId30"/>
    <sheet name="Marzo 2025" sheetId="29" state="visible" r:id="rId31"/>
    <sheet name="Abril 2025" sheetId="30" state="visible" r:id="rId32"/>
    <sheet name="Mayo 2025" sheetId="31" state="visible" r:id="rId33"/>
    <sheet name="Junio 2025" sheetId="32" state="visible" r:id="rId34"/>
    <sheet name="Julio 2025" sheetId="33" state="visible" r:id="rId35"/>
    <sheet name="Agosto 2025" sheetId="34" state="visible" r:id="rId36"/>
    <sheet name="Septiembre 2025" sheetId="35" state="visible" r:id="rId37"/>
    <sheet name="Octubre 2025" sheetId="36" state="visible" r:id="rId38"/>
    <sheet name="Noviembre 2025" sheetId="37" state="visible" r:id="rId39"/>
    <sheet name="Diciembre 2025" sheetId="38" state="visible" r:id="rId40"/>
    <sheet name="Enero 2026" sheetId="39" state="visible" r:id="rId41"/>
    <sheet name="Febrero 2026" sheetId="40" state="visible" r:id="rId42"/>
    <sheet name="Marzo 2026" sheetId="41" state="visible" r:id="rId43"/>
    <sheet name="Abril 2026" sheetId="42" state="visible" r:id="rId44"/>
    <sheet name="Mayo 2026" sheetId="43" state="visible" r:id="rId45"/>
    <sheet name="Histórico anual" sheetId="44" state="visible" r:id="rId46"/>
    <sheet name="Recordatorios" sheetId="45" state="visible" r:id="rId47"/>
    <sheet name="Como usar" sheetId="46" state="visible" r:id="rId4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<sst xmlns="http://schemas.openxmlformats.org/spreadsheetml/2006/main" count="3358" uniqueCount="610">
  <si>
    <t xml:space="preserve">Control Financiero — Noviembre 2022</t>
  </si>
  <si>
    <t xml:space="preserve">INGRESOS DEL MES</t>
  </si>
  <si>
    <t xml:space="preserve">Concepto</t>
  </si>
  <si>
    <t xml:space="preserve">Importe (€)</t>
  </si>
  <si>
    <t xml:space="preserve">Quién</t>
  </si>
  <si>
    <t xml:space="preserve">Notas</t>
  </si>
  <si>
    <t xml:space="preserve">Nómina Emmanuel</t>
  </si>
  <si>
    <t xml:space="preserve">Emmanuel</t>
  </si>
  <si>
    <t xml:space="preserve">← Escribe aquí el día 1</t>
  </si>
  <si>
    <t xml:space="preserve">Nómina esposa</t>
  </si>
  <si>
    <t xml:space="preserve">Esposa</t>
  </si>
  <si>
    <t xml:space="preserve">TOTAL INGRESOS</t>
  </si>
  <si>
    <t xml:space="preserve">GASTOS DEL MES</t>
  </si>
  <si>
    <t xml:space="preserve">Credit Andorra 6/24</t>
  </si>
  <si>
    <t xml:space="preserve">Familia</t>
  </si>
  <si>
    <t xml:space="preserve">Viamoda</t>
  </si>
  <si>
    <t xml:space="preserve">Parking</t>
  </si>
  <si>
    <t xml:space="preserve">Trastero</t>
  </si>
  <si>
    <t xml:space="preserve">Arriendo Piso</t>
  </si>
  <si>
    <t xml:space="preserve">Viaje Shamir 5/10</t>
  </si>
  <si>
    <t xml:space="preserve">Dacia Pyrennes 17/60</t>
  </si>
  <si>
    <t xml:space="preserve">Ahorro niños</t>
  </si>
  <si>
    <t xml:space="preserve">Baja seguro</t>
  </si>
  <si>
    <t xml:space="preserve">Baja seguro 2</t>
  </si>
  <si>
    <t xml:space="preserve">Credit Vida Salud</t>
  </si>
  <si>
    <t xml:space="preserve">Carroi 2/4</t>
  </si>
  <si>
    <t xml:space="preserve">Ahorro Jubilación 1/30</t>
  </si>
  <si>
    <t xml:space="preserve">Robotica</t>
  </si>
  <si>
    <t xml:space="preserve">Seguro vida</t>
  </si>
  <si>
    <t xml:space="preserve">Cantina APACE</t>
  </si>
  <si>
    <t xml:space="preserve">CASS 2/12</t>
  </si>
  <si>
    <t xml:space="preserve">Telecom Andorra</t>
  </si>
  <si>
    <t xml:space="preserve">Pintada coche 2/3</t>
  </si>
  <si>
    <t xml:space="preserve">FEDA</t>
  </si>
  <si>
    <t xml:space="preserve">Tarjeta</t>
  </si>
  <si>
    <t xml:space="preserve">Tarjeta 2</t>
  </si>
  <si>
    <t xml:space="preserve">Mercadona</t>
  </si>
  <si>
    <t xml:space="preserve">SAAS comedor</t>
  </si>
  <si>
    <t xml:space="preserve">TOTAL GASTOS</t>
  </si>
  <si>
    <t xml:space="preserve">RESUMEN DEL MES</t>
  </si>
  <si>
    <t xml:space="preserve">Total ingresos</t>
  </si>
  <si>
    <t xml:space="preserve">Total gastos</t>
  </si>
  <si>
    <t xml:space="preserve">AHORRO DEL MES</t>
  </si>
  <si>
    <t xml:space="preserve">Control Financiero — Diciembre 2022</t>
  </si>
  <si>
    <t xml:space="preserve">Credit Andorra 7/24</t>
  </si>
  <si>
    <t xml:space="preserve">Viaje Shamir 6/10</t>
  </si>
  <si>
    <t xml:space="preserve">Dacia 18/60</t>
  </si>
  <si>
    <t xml:space="preserve">Bacredit Salud</t>
  </si>
  <si>
    <t xml:space="preserve">Carroi 3/4</t>
  </si>
  <si>
    <t xml:space="preserve">Ahorro Jubilación -30</t>
  </si>
  <si>
    <t xml:space="preserve">Cantina APACEF</t>
  </si>
  <si>
    <t xml:space="preserve">CASS 3/12</t>
  </si>
  <si>
    <t xml:space="preserve">Pintada coche 3/3</t>
  </si>
  <si>
    <t xml:space="preserve">Seguro Piso 6 meses</t>
  </si>
  <si>
    <t xml:space="preserve">Control Financiero — Enero 2023</t>
  </si>
  <si>
    <t xml:space="preserve">Credit Andorra 8/24</t>
  </si>
  <si>
    <t xml:space="preserve">Pyrenne iPhone 14 1/24</t>
  </si>
  <si>
    <t xml:space="preserve">Pyrenne</t>
  </si>
  <si>
    <t xml:space="preserve">Credit vida salud</t>
  </si>
  <si>
    <t xml:space="preserve">Carroi 4/4</t>
  </si>
  <si>
    <t xml:space="preserve">Jubilación</t>
  </si>
  <si>
    <t xml:space="preserve">Robotica APACEF</t>
  </si>
  <si>
    <t xml:space="preserve">CASS 4/12</t>
  </si>
  <si>
    <t xml:space="preserve">Jubilación Elisel</t>
  </si>
  <si>
    <t xml:space="preserve">Pyrenne Andorra 2000</t>
  </si>
  <si>
    <t xml:space="preserve">Póliza Dacia 1/4</t>
  </si>
  <si>
    <t xml:space="preserve">Seguro escolar anual</t>
  </si>
  <si>
    <t xml:space="preserve">Netflix</t>
  </si>
  <si>
    <t xml:space="preserve">28/12/22-31/01/23</t>
  </si>
  <si>
    <t xml:space="preserve">Hospital comedor</t>
  </si>
  <si>
    <t xml:space="preserve">Control Financiero — Febrero 2023</t>
  </si>
  <si>
    <t xml:space="preserve">Credit Andorra 9/24</t>
  </si>
  <si>
    <t xml:space="preserve">iPhone 14 2/24</t>
  </si>
  <si>
    <t xml:space="preserve">Dacia 19/60</t>
  </si>
  <si>
    <t xml:space="preserve">Arriendo 2%</t>
  </si>
  <si>
    <t xml:space="preserve">Trastero 7%</t>
  </si>
  <si>
    <t xml:space="preserve">Ahorro jubilación</t>
  </si>
  <si>
    <t xml:space="preserve">Robotica + Ludoteca</t>
  </si>
  <si>
    <t xml:space="preserve">Cantina</t>
  </si>
  <si>
    <t xml:space="preserve">My Pyri</t>
  </si>
  <si>
    <t xml:space="preserve">Andorra 2000 Pyrenne yo</t>
  </si>
  <si>
    <t xml:space="preserve">Andorra 2000 ella</t>
  </si>
  <si>
    <t xml:space="preserve">Credit vida</t>
  </si>
  <si>
    <t xml:space="preserve">Póliza Moto 1 año</t>
  </si>
  <si>
    <t xml:space="preserve">Andorra 2000</t>
  </si>
  <si>
    <t xml:space="preserve">CASS 5/12 no se pagó</t>
  </si>
  <si>
    <t xml:space="preserve">no pagado</t>
  </si>
  <si>
    <t xml:space="preserve">Colegio Enfermería</t>
  </si>
  <si>
    <t xml:space="preserve">Comida hospital</t>
  </si>
  <si>
    <t xml:space="preserve">Control Financiero — Marzo 2023</t>
  </si>
  <si>
    <t xml:space="preserve">Foc i lloc 2023</t>
  </si>
  <si>
    <t xml:space="preserve">Credit Andorra 10/24</t>
  </si>
  <si>
    <t xml:space="preserve">Pyrennes HP 8/20</t>
  </si>
  <si>
    <t xml:space="preserve">Pyrennes iPhone 3/24</t>
  </si>
  <si>
    <t xml:space="preserve">Pyrennes Dacia 20/60</t>
  </si>
  <si>
    <t xml:space="preserve">Pyrennes moto 1/24</t>
  </si>
  <si>
    <t xml:space="preserve">Pyrennes PS5 1/24</t>
  </si>
  <si>
    <t xml:space="preserve">Jubilación -falta 30</t>
  </si>
  <si>
    <t xml:space="preserve">Credit baja</t>
  </si>
  <si>
    <t xml:space="preserve">Credit baja 2</t>
  </si>
  <si>
    <t xml:space="preserve">Póliza Dacia 2/4</t>
  </si>
  <si>
    <t xml:space="preserve">Póliza vida Credit Andorra</t>
  </si>
  <si>
    <t xml:space="preserve">Robotica + Ludoteca Emmanuel</t>
  </si>
  <si>
    <t xml:space="preserve">CASS 6/12 no se pagó</t>
  </si>
  <si>
    <t xml:space="preserve">Andorra 2000 Emmanuel</t>
  </si>
  <si>
    <t xml:space="preserve">Andorra 2000 Elisel</t>
  </si>
  <si>
    <t xml:space="preserve">Tarjeta Pyrennes Emmanuel</t>
  </si>
  <si>
    <t xml:space="preserve">Impuesto Gover Dacia</t>
  </si>
  <si>
    <t xml:space="preserve">Ludoteca Emiliano</t>
  </si>
  <si>
    <t xml:space="preserve">Control Financiero — Abril 2023</t>
  </si>
  <si>
    <t xml:space="preserve">Credit Andorra 11/24</t>
  </si>
  <si>
    <t xml:space="preserve">Pyrennes HP 9/20</t>
  </si>
  <si>
    <t xml:space="preserve">Pyrennes iPhone 4/24</t>
  </si>
  <si>
    <t xml:space="preserve">Pyrenne Dacia 21/60</t>
  </si>
  <si>
    <t xml:space="preserve">Pyrenne Moto 2/24</t>
  </si>
  <si>
    <t xml:space="preserve">Pyrenne PS5 2/24</t>
  </si>
  <si>
    <t xml:space="preserve">Ahorro niños Emmanuel</t>
  </si>
  <si>
    <t xml:space="preserve">Ahorro Jubilación Emmanuel</t>
  </si>
  <si>
    <t xml:space="preserve">APACEF + Robotica</t>
  </si>
  <si>
    <t xml:space="preserve">Póliza Dacia 3/4</t>
  </si>
  <si>
    <t xml:space="preserve">Póliza vida capital</t>
  </si>
  <si>
    <t xml:space="preserve">CASS 5/12</t>
  </si>
  <si>
    <t xml:space="preserve">Rodisnet</t>
  </si>
  <si>
    <t xml:space="preserve">My Pyri Emmanuel</t>
  </si>
  <si>
    <t xml:space="preserve">Credit capital Elisel</t>
  </si>
  <si>
    <t xml:space="preserve">Hospital comida</t>
  </si>
  <si>
    <t xml:space="preserve">Control Financiero — Mayo 2023</t>
  </si>
  <si>
    <t xml:space="preserve">Credit Andorra 12/24</t>
  </si>
  <si>
    <t xml:space="preserve">Pyrennes HP 10/20</t>
  </si>
  <si>
    <t xml:space="preserve">Pyrennes iPhone 5/24</t>
  </si>
  <si>
    <t xml:space="preserve">Pyrenne Dacia 22/60</t>
  </si>
  <si>
    <t xml:space="preserve">Pyrenne Moto 3/24</t>
  </si>
  <si>
    <t xml:space="preserve">Pyrenne PS5 3/24</t>
  </si>
  <si>
    <t xml:space="preserve">Póliza Dacia 4/4</t>
  </si>
  <si>
    <t xml:space="preserve">Credit capital</t>
  </si>
  <si>
    <t xml:space="preserve">Credit capital 2</t>
  </si>
  <si>
    <t xml:space="preserve">My Pyri Elisel</t>
  </si>
  <si>
    <t xml:space="preserve">Viamoda 4/4</t>
  </si>
  <si>
    <t xml:space="preserve">Cobro Visa tarjeta</t>
  </si>
  <si>
    <t xml:space="preserve">Activida Ludoteca APACEF</t>
  </si>
  <si>
    <t xml:space="preserve">Gym</t>
  </si>
  <si>
    <t xml:space="preserve">Control Financiero — Junio 2023</t>
  </si>
  <si>
    <t xml:space="preserve">Credit Andorra 13/24</t>
  </si>
  <si>
    <t xml:space="preserve">Pyrennes HP 11/20</t>
  </si>
  <si>
    <t xml:space="preserve">Pyrennes iPhone 6/24</t>
  </si>
  <si>
    <t xml:space="preserve">Pyrenne Dacia 23/60</t>
  </si>
  <si>
    <t xml:space="preserve">Pyrenne Moto 4/24</t>
  </si>
  <si>
    <t xml:space="preserve">Pyrenne PS5 4/24</t>
  </si>
  <si>
    <t xml:space="preserve">Ahorro Elisel</t>
  </si>
  <si>
    <t xml:space="preserve">Ahorro Emmanuel</t>
  </si>
  <si>
    <t xml:space="preserve">Credit baja Emmanuel</t>
  </si>
  <si>
    <t xml:space="preserve">Credit baja Elisel</t>
  </si>
  <si>
    <t xml:space="preserve">CASS BORRADOR</t>
  </si>
  <si>
    <t xml:space="preserve">Viamoda 1/3</t>
  </si>
  <si>
    <t xml:space="preserve">APACEF Actividades</t>
  </si>
  <si>
    <t xml:space="preserve">Póliza Piso</t>
  </si>
  <si>
    <t xml:space="preserve">Hospital comida Eli</t>
  </si>
  <si>
    <t xml:space="preserve">Control Financiero — Julio 2023</t>
  </si>
  <si>
    <t xml:space="preserve">Pyrennes TV 1/6</t>
  </si>
  <si>
    <t xml:space="preserve">Credit Andorra 14/24</t>
  </si>
  <si>
    <t xml:space="preserve">Pyrennes HP 12/20</t>
  </si>
  <si>
    <t xml:space="preserve">Pyrennes iPhone 14 7/24</t>
  </si>
  <si>
    <t xml:space="preserve">Pyrenne Dacia 24/60</t>
  </si>
  <si>
    <t xml:space="preserve">Pyrenne Moto 5/24</t>
  </si>
  <si>
    <t xml:space="preserve">Pyrenne PS5 5/24</t>
  </si>
  <si>
    <t xml:space="preserve">Gym Eli</t>
  </si>
  <si>
    <t xml:space="preserve">Parking coche</t>
  </si>
  <si>
    <t xml:space="preserve">Ahorro Eli jubilación</t>
  </si>
  <si>
    <t xml:space="preserve">Ahorro Emmanuel jubilación</t>
  </si>
  <si>
    <t xml:space="preserve">Viamoda 2/3</t>
  </si>
  <si>
    <t xml:space="preserve">APACEF</t>
  </si>
  <si>
    <t xml:space="preserve">Cuota JCB My Pyri adelanto Ahorra 1/2</t>
  </si>
  <si>
    <t xml:space="preserve">Credit salud</t>
  </si>
  <si>
    <t xml:space="preserve">Vía-T</t>
  </si>
  <si>
    <t xml:space="preserve">04/03/23-31/01/24</t>
  </si>
  <si>
    <t xml:space="preserve">Remesa COIA julio 2023</t>
  </si>
  <si>
    <t xml:space="preserve">Control Financiero — Agosto 2023</t>
  </si>
  <si>
    <t xml:space="preserve">Credit Andorra 15/24</t>
  </si>
  <si>
    <t xml:space="preserve">Pyrenne JBL Lenovo 1/3</t>
  </si>
  <si>
    <t xml:space="preserve">Pyrenne TV 2/6</t>
  </si>
  <si>
    <t xml:space="preserve">Pyrenne HP 13/20</t>
  </si>
  <si>
    <t xml:space="preserve">Pyrenne iPhone 14 8/24</t>
  </si>
  <si>
    <t xml:space="preserve">Pyrenne Dacia 25/60</t>
  </si>
  <si>
    <t xml:space="preserve">Pyrenne Moto 6/24</t>
  </si>
  <si>
    <t xml:space="preserve">Pyrenne PS5 6/24</t>
  </si>
  <si>
    <t xml:space="preserve">Ahorro Eli</t>
  </si>
  <si>
    <t xml:space="preserve">Spotify</t>
  </si>
  <si>
    <t xml:space="preserve">LogoPeda</t>
  </si>
  <si>
    <t xml:space="preserve">Control Financiero — Septiembre 2023</t>
  </si>
  <si>
    <t xml:space="preserve">Peaje viaje Suiza</t>
  </si>
  <si>
    <t xml:space="preserve">Pyrenne JBL Lenovo 2/3</t>
  </si>
  <si>
    <t xml:space="preserve">Pyrenne GoPro 1/6</t>
  </si>
  <si>
    <t xml:space="preserve">Credit Andorra 16/24</t>
  </si>
  <si>
    <t xml:space="preserve">Pyrenne TV 3/6</t>
  </si>
  <si>
    <t xml:space="preserve">Pyrenne HP 14/20</t>
  </si>
  <si>
    <t xml:space="preserve">Pyrenne iPhone 14 9/24</t>
  </si>
  <si>
    <t xml:space="preserve">Pyrenne Dacia 26/60</t>
  </si>
  <si>
    <t xml:space="preserve">Moto 7/24</t>
  </si>
  <si>
    <t xml:space="preserve">Pyrenne PS5 7/24</t>
  </si>
  <si>
    <t xml:space="preserve">Gym Elisel</t>
  </si>
  <si>
    <t xml:space="preserve">Colágeno Nuria 1/3</t>
  </si>
  <si>
    <t xml:space="preserve">Disney</t>
  </si>
  <si>
    <t xml:space="preserve">Seguro escolar Emiliano 2023-2024</t>
  </si>
  <si>
    <t xml:space="preserve">Actividades APACEF</t>
  </si>
  <si>
    <t xml:space="preserve">Control Financiero — Octubre 2023</t>
  </si>
  <si>
    <t xml:space="preserve">Microsoft</t>
  </si>
  <si>
    <t xml:space="preserve">Pyrenne JBL Lenovo 3/3</t>
  </si>
  <si>
    <t xml:space="preserve">Cuota socio anual APACEF</t>
  </si>
  <si>
    <t xml:space="preserve">Viamoda 3/3</t>
  </si>
  <si>
    <t xml:space="preserve">Pyrenne GoPro 2/6</t>
  </si>
  <si>
    <t xml:space="preserve">Credit Andorra 17/24</t>
  </si>
  <si>
    <t xml:space="preserve">Pyrenne TV 4/6</t>
  </si>
  <si>
    <t xml:space="preserve">Pyrenne HP 15/20</t>
  </si>
  <si>
    <t xml:space="preserve">Pyrenne iPhone 14 10/24</t>
  </si>
  <si>
    <t xml:space="preserve">Dacia 27/60</t>
  </si>
  <si>
    <t xml:space="preserve">Moto 8/24</t>
  </si>
  <si>
    <t xml:space="preserve">Pyrenne PS5 8/24</t>
  </si>
  <si>
    <t xml:space="preserve">Ahorro niños Elisel</t>
  </si>
  <si>
    <t xml:space="preserve">Actividad APACEF</t>
  </si>
  <si>
    <t xml:space="preserve">Colágeno Nuria 2/3</t>
  </si>
  <si>
    <t xml:space="preserve">Cargolendo 1/3</t>
  </si>
  <si>
    <t xml:space="preserve">Fundació Andorra Fitbit</t>
  </si>
  <si>
    <t xml:space="preserve">APACEF Ludoteca</t>
  </si>
  <si>
    <t xml:space="preserve">Consulta nutrición Elisa</t>
  </si>
  <si>
    <t xml:space="preserve">Control Financiero — Noviembre 2023</t>
  </si>
  <si>
    <t xml:space="preserve">Microsoft 11 noviembre</t>
  </si>
  <si>
    <t xml:space="preserve">Pyrenne GoPro 3/6</t>
  </si>
  <si>
    <t xml:space="preserve">Pyrenne TV 5/6</t>
  </si>
  <si>
    <t xml:space="preserve">Pyrenne HP 16/20</t>
  </si>
  <si>
    <t xml:space="preserve">Pyrenne iPhone 14 11/24</t>
  </si>
  <si>
    <t xml:space="preserve">Pyrenne Dacia 28/60</t>
  </si>
  <si>
    <t xml:space="preserve">Moto 9/24</t>
  </si>
  <si>
    <t xml:space="preserve">Pyrenne PS5 9/24</t>
  </si>
  <si>
    <t xml:space="preserve">Credit Andorra 18/24</t>
  </si>
  <si>
    <t xml:space="preserve">Ahorro jubilación Elisel</t>
  </si>
  <si>
    <t xml:space="preserve">Ahorro jubilación Emmanuel</t>
  </si>
  <si>
    <t xml:space="preserve">VISA Emmanuel anual</t>
  </si>
  <si>
    <t xml:space="preserve">Colágeno Nuria 3/3</t>
  </si>
  <si>
    <t xml:space="preserve">Cargolendo 2/3</t>
  </si>
  <si>
    <t xml:space="preserve">Carroi 1/2</t>
  </si>
  <si>
    <t xml:space="preserve">Consulta Nutrición</t>
  </si>
  <si>
    <t xml:space="preserve">9-11 cancelado</t>
  </si>
  <si>
    <t xml:space="preserve">Control Financiero — Diciembre 2023</t>
  </si>
  <si>
    <t xml:space="preserve">Microsoft último mes mensual</t>
  </si>
  <si>
    <t xml:space="preserve">Póliza Piso devuelto</t>
  </si>
  <si>
    <t xml:space="preserve">Pyrenne GoPro 4/6</t>
  </si>
  <si>
    <t xml:space="preserve">Pyrenne TV 6/6</t>
  </si>
  <si>
    <t xml:space="preserve">Pyrenne HP 17/20</t>
  </si>
  <si>
    <t xml:space="preserve">Pyrenne iPhone 14 12/24</t>
  </si>
  <si>
    <t xml:space="preserve">Pyrenne Dacia 29/60</t>
  </si>
  <si>
    <t xml:space="preserve">Moto 10/24</t>
  </si>
  <si>
    <t xml:space="preserve">Pyrenne PS5 10/24</t>
  </si>
  <si>
    <t xml:space="preserve">Credit Andorra 19/24</t>
  </si>
  <si>
    <t xml:space="preserve">Cargolendo 3/3</t>
  </si>
  <si>
    <t xml:space="preserve">Carroi 2/2</t>
  </si>
  <si>
    <t xml:space="preserve">Tarjeta verde</t>
  </si>
  <si>
    <t xml:space="preserve">APACEF cantina</t>
  </si>
  <si>
    <t xml:space="preserve">Actividades inglés Picino</t>
  </si>
  <si>
    <t xml:space="preserve">Disney anual</t>
  </si>
  <si>
    <t xml:space="preserve">Neumático 1/6</t>
  </si>
  <si>
    <t xml:space="preserve">Abono Cargolendo cumple Emmanuel</t>
  </si>
  <si>
    <t xml:space="preserve">Control Financiero — Enero 2024</t>
  </si>
  <si>
    <t xml:space="preserve">Microsoft mensual</t>
  </si>
  <si>
    <t xml:space="preserve">11 enero</t>
  </si>
  <si>
    <t xml:space="preserve">Póliza moto anual</t>
  </si>
  <si>
    <t xml:space="preserve">Neumático 2/6</t>
  </si>
  <si>
    <t xml:space="preserve">Colegio Enfermería semestral</t>
  </si>
  <si>
    <t xml:space="preserve">GoPro 3/6</t>
  </si>
  <si>
    <t xml:space="preserve">HP 18/20</t>
  </si>
  <si>
    <t xml:space="preserve">iPhone 14 13/24</t>
  </si>
  <si>
    <t xml:space="preserve">Dacia 30/60</t>
  </si>
  <si>
    <t xml:space="preserve">Moto 11/24</t>
  </si>
  <si>
    <t xml:space="preserve">PS5 11/24</t>
  </si>
  <si>
    <t xml:space="preserve">Credit Andorra 20/24</t>
  </si>
  <si>
    <t xml:space="preserve">Piso</t>
  </si>
  <si>
    <t xml:space="preserve">Credit salud complementario</t>
  </si>
  <si>
    <t xml:space="preserve">My Piri Elisel</t>
  </si>
  <si>
    <t xml:space="preserve">Ahorro</t>
  </si>
  <si>
    <t xml:space="preserve">Credit capital Emmanuel</t>
  </si>
  <si>
    <t xml:space="preserve">My Piri Emmanuel</t>
  </si>
  <si>
    <t xml:space="preserve">Viaje suegra 1/3</t>
  </si>
  <si>
    <t xml:space="preserve">AVIOR boleto Barinas</t>
  </si>
  <si>
    <t xml:space="preserve">Sky equipamiento Emmanuel</t>
  </si>
  <si>
    <t xml:space="preserve">Aval Pyrennes anual</t>
  </si>
  <si>
    <t xml:space="preserve">Control Financiero — Febrero 2024</t>
  </si>
  <si>
    <t xml:space="preserve">HP Pyrennes 19/20</t>
  </si>
  <si>
    <t xml:space="preserve">Pyrennes Gopro 6/6</t>
  </si>
  <si>
    <t xml:space="preserve">Neumático 3/6</t>
  </si>
  <si>
    <t xml:space="preserve">Viaje suegra 2/3</t>
  </si>
  <si>
    <t xml:space="preserve">iPhone 14/24</t>
  </si>
  <si>
    <t xml:space="preserve">Dacia 31/60</t>
  </si>
  <si>
    <t xml:space="preserve">Moto 12/24</t>
  </si>
  <si>
    <t xml:space="preserve">PS5 12/24</t>
  </si>
  <si>
    <t xml:space="preserve">Credit Andorra 21/24</t>
  </si>
  <si>
    <t xml:space="preserve">Hotel + coche Madrid</t>
  </si>
  <si>
    <t xml:space="preserve">Becier 1/3</t>
  </si>
  <si>
    <t xml:space="preserve">Congelado 1/6</t>
  </si>
  <si>
    <t xml:space="preserve">Postre cumpleaños</t>
  </si>
  <si>
    <t xml:space="preserve">Mantenimiento Vía-T</t>
  </si>
  <si>
    <t xml:space="preserve">Control Financiero — Marzo 2024</t>
  </si>
  <si>
    <t xml:space="preserve">Congelador 2/6</t>
  </si>
  <si>
    <t xml:space="preserve">HP Pyrennes 20/20</t>
  </si>
  <si>
    <t xml:space="preserve">Neumático 4/6</t>
  </si>
  <si>
    <t xml:space="preserve">Viaje suegra 3/3</t>
  </si>
  <si>
    <t xml:space="preserve">Cantina actividad</t>
  </si>
  <si>
    <t xml:space="preserve">iPhone 14 15/24</t>
  </si>
  <si>
    <t xml:space="preserve">Dacia 32/60</t>
  </si>
  <si>
    <t xml:space="preserve">Moto 13/24</t>
  </si>
  <si>
    <t xml:space="preserve">PS5 13/24</t>
  </si>
  <si>
    <t xml:space="preserve">Credit Andorra 22/24</t>
  </si>
  <si>
    <t xml:space="preserve">Impuesto moto anual</t>
  </si>
  <si>
    <t xml:space="preserve">Póliza piso</t>
  </si>
  <si>
    <t xml:space="preserve">Becier 2/3</t>
  </si>
  <si>
    <t xml:space="preserve">Póliza coche Dacia 1/3</t>
  </si>
  <si>
    <t xml:space="preserve">Gangolendo Chelo 1/3</t>
  </si>
  <si>
    <t xml:space="preserve">Control Financiero — Abril 2024</t>
  </si>
  <si>
    <t xml:space="preserve">Congelador 3/6</t>
  </si>
  <si>
    <t xml:space="preserve">Neumático 5/6</t>
  </si>
  <si>
    <t xml:space="preserve">Becier 3/6</t>
  </si>
  <si>
    <t xml:space="preserve">Dacia 33/60</t>
  </si>
  <si>
    <t xml:space="preserve">Moto 14/24</t>
  </si>
  <si>
    <t xml:space="preserve">PS5 14/24</t>
  </si>
  <si>
    <t xml:space="preserve">iPhone 16/24</t>
  </si>
  <si>
    <t xml:space="preserve">Póliza coche Dacia 2/3</t>
  </si>
  <si>
    <t xml:space="preserve">Pyrennes 1/3</t>
  </si>
  <si>
    <t xml:space="preserve">Via-T Madrid</t>
  </si>
  <si>
    <t xml:space="preserve">Control Financiero — Mayo 2024</t>
  </si>
  <si>
    <t xml:space="preserve">Congelador 4/6</t>
  </si>
  <si>
    <t xml:space="preserve">Neumático</t>
  </si>
  <si>
    <t xml:space="preserve">Credit Andorra 24/24</t>
  </si>
  <si>
    <t xml:space="preserve">Dacia 34/60</t>
  </si>
  <si>
    <t xml:space="preserve">Moto 15/24</t>
  </si>
  <si>
    <t xml:space="preserve">PS5 15/24</t>
  </si>
  <si>
    <t xml:space="preserve">iPhone 17/24</t>
  </si>
  <si>
    <t xml:space="preserve">Via Moda</t>
  </si>
  <si>
    <t xml:space="preserve">Poliza coche cancelada 3/3</t>
  </si>
  <si>
    <t xml:space="preserve">Via-T Valencia</t>
  </si>
  <si>
    <t xml:space="preserve">Gasolinera Suiza</t>
  </si>
  <si>
    <t xml:space="preserve">Credit salud complementario Elisel</t>
  </si>
  <si>
    <t xml:space="preserve">Descubierto banco</t>
  </si>
  <si>
    <t xml:space="preserve">Foc i lloc comida</t>
  </si>
  <si>
    <t xml:space="preserve">Control Financiero — Junio 2024</t>
  </si>
  <si>
    <t xml:space="preserve">Congelador 5/6</t>
  </si>
  <si>
    <t xml:space="preserve">Dacia 35/60</t>
  </si>
  <si>
    <t xml:space="preserve">3 años</t>
  </si>
  <si>
    <t xml:space="preserve">Moto 16/24</t>
  </si>
  <si>
    <t xml:space="preserve">PS5 16/24</t>
  </si>
  <si>
    <t xml:space="preserve">iPhone 18/24</t>
  </si>
  <si>
    <t xml:space="preserve">Nevera 1/6</t>
  </si>
  <si>
    <t xml:space="preserve">Dacia impuesto anual 2024</t>
  </si>
  <si>
    <t xml:space="preserve">APACEF cantina anual 2024</t>
  </si>
  <si>
    <t xml:space="preserve">PANDORA</t>
  </si>
  <si>
    <t xml:space="preserve">Netflix Microsoft</t>
  </si>
  <si>
    <t xml:space="preserve">Via-T Suiza</t>
  </si>
  <si>
    <t xml:space="preserve">Descuento banco</t>
  </si>
  <si>
    <t xml:space="preserve">Addisnet</t>
  </si>
  <si>
    <t xml:space="preserve">Nevera extra</t>
  </si>
  <si>
    <t xml:space="preserve">Impuesto anual 2023/2024</t>
  </si>
  <si>
    <t xml:space="preserve">Foc i lloc</t>
  </si>
  <si>
    <t xml:space="preserve">Moto impuesto anual</t>
  </si>
  <si>
    <t xml:space="preserve">Control Financiero — Julio 2024</t>
  </si>
  <si>
    <t xml:space="preserve">Congelador 6/6</t>
  </si>
  <si>
    <t xml:space="preserve">Dacia 36/60</t>
  </si>
  <si>
    <t xml:space="preserve">Moto 17/24</t>
  </si>
  <si>
    <t xml:space="preserve">PS5 17/24</t>
  </si>
  <si>
    <t xml:space="preserve">iPhone 19/24</t>
  </si>
  <si>
    <t xml:space="preserve">Nevera 2/6</t>
  </si>
  <si>
    <t xml:space="preserve">Microsoft Netflix Prime</t>
  </si>
  <si>
    <t xml:space="preserve">Boleto viaje 1/3</t>
  </si>
  <si>
    <t xml:space="preserve">Lavadora y televisor suegra</t>
  </si>
  <si>
    <t xml:space="preserve">SAAS 1/12</t>
  </si>
  <si>
    <t xml:space="preserve">Artal gasolinera</t>
  </si>
  <si>
    <t xml:space="preserve">Alexin 1/3</t>
  </si>
  <si>
    <t xml:space="preserve">Aval tarjeta Pyrennes anual</t>
  </si>
  <si>
    <t xml:space="preserve">Control Financiero — Agosto 2024</t>
  </si>
  <si>
    <t xml:space="preserve">Dacia 37/60</t>
  </si>
  <si>
    <t xml:space="preserve">Moto 18/24</t>
  </si>
  <si>
    <t xml:space="preserve">PS5 18/24</t>
  </si>
  <si>
    <t xml:space="preserve">iPhone 20/24</t>
  </si>
  <si>
    <t xml:space="preserve">Nevera 3/6</t>
  </si>
  <si>
    <t xml:space="preserve">Boleto viaje 2/3</t>
  </si>
  <si>
    <t xml:space="preserve">SAAS 2/12</t>
  </si>
  <si>
    <t xml:space="preserve">TV 1/3</t>
  </si>
  <si>
    <t xml:space="preserve">Alexin 2/3</t>
  </si>
  <si>
    <t xml:space="preserve">Artal</t>
  </si>
  <si>
    <t xml:space="preserve">Multiseguro</t>
  </si>
  <si>
    <t xml:space="preserve">Control Financiero — Septiembre 2024</t>
  </si>
  <si>
    <t xml:space="preserve">27 fiesta Emilia</t>
  </si>
  <si>
    <t xml:space="preserve">Cumpleaño Emiliano</t>
  </si>
  <si>
    <t xml:space="preserve">Boleto viaje 3/3</t>
  </si>
  <si>
    <t xml:space="preserve">Dacia 38/60</t>
  </si>
  <si>
    <t xml:space="preserve">Moto 19/24</t>
  </si>
  <si>
    <t xml:space="preserve">PS5 19/24</t>
  </si>
  <si>
    <t xml:space="preserve">iPhone 21/24</t>
  </si>
  <si>
    <t xml:space="preserve">Alexa 3/3</t>
  </si>
  <si>
    <t xml:space="preserve">TV 2/3</t>
  </si>
  <si>
    <t xml:space="preserve">Nevera 4/6</t>
  </si>
  <si>
    <t xml:space="preserve">SAAS 3/12</t>
  </si>
  <si>
    <t xml:space="preserve">Close Emmanuel y Emiliano</t>
  </si>
  <si>
    <t xml:space="preserve">Microsoft Netflix</t>
  </si>
  <si>
    <t xml:space="preserve">Control Financiero — Octubre 2024</t>
  </si>
  <si>
    <t xml:space="preserve">Cuota APACEF anual</t>
  </si>
  <si>
    <t xml:space="preserve">ITV Dacia</t>
  </si>
  <si>
    <t xml:space="preserve">Dacia 39/60</t>
  </si>
  <si>
    <t xml:space="preserve">Moto 20/24</t>
  </si>
  <si>
    <t xml:space="preserve">PS5 20/24</t>
  </si>
  <si>
    <t xml:space="preserve">TV 3/3</t>
  </si>
  <si>
    <t xml:space="preserve">Nevera 5/6</t>
  </si>
  <si>
    <t xml:space="preserve">SAAS 4/12</t>
  </si>
  <si>
    <t xml:space="preserve">Tarjeta crédito Morabanc</t>
  </si>
  <si>
    <t xml:space="preserve">Fundació Meritxell</t>
  </si>
  <si>
    <t xml:space="preserve">Control Financiero — Noviembre 2024</t>
  </si>
  <si>
    <t xml:space="preserve">Pyrennes iPhone 14 23/24</t>
  </si>
  <si>
    <t xml:space="preserve">Dacia 40/60</t>
  </si>
  <si>
    <t xml:space="preserve">Moto 21/24</t>
  </si>
  <si>
    <t xml:space="preserve">PS5 21/24</t>
  </si>
  <si>
    <t xml:space="preserve">APACEF actividad</t>
  </si>
  <si>
    <t xml:space="preserve">Nevera 6/6</t>
  </si>
  <si>
    <t xml:space="preserve">SAAS 5/12</t>
  </si>
  <si>
    <t xml:space="preserve">11 noviembre</t>
  </si>
  <si>
    <t xml:space="preserve">Libro inglés Emiliano</t>
  </si>
  <si>
    <t xml:space="preserve">Credit complementario salud</t>
  </si>
  <si>
    <t xml:space="preserve">Rodinet</t>
  </si>
  <si>
    <t xml:space="preserve">Comedor SAAS</t>
  </si>
  <si>
    <t xml:space="preserve">Universidad</t>
  </si>
  <si>
    <t xml:space="preserve">Control Financiero — Diciembre 2024</t>
  </si>
  <si>
    <t xml:space="preserve">Pyrennes iPhone 14 24/24</t>
  </si>
  <si>
    <t xml:space="preserve">23 diciembre</t>
  </si>
  <si>
    <t xml:space="preserve">Dacia 41/60</t>
  </si>
  <si>
    <t xml:space="preserve">Moto 22/24</t>
  </si>
  <si>
    <t xml:space="preserve">PS5 22/24</t>
  </si>
  <si>
    <t xml:space="preserve">SAAS 6/12</t>
  </si>
  <si>
    <t xml:space="preserve">22 diciembre</t>
  </si>
  <si>
    <t xml:space="preserve">11 diciembre</t>
  </si>
  <si>
    <t xml:space="preserve">Suegra</t>
  </si>
  <si>
    <t xml:space="preserve">Miriam</t>
  </si>
  <si>
    <t xml:space="preserve">Control Financiero — Enero 2025</t>
  </si>
  <si>
    <t xml:space="preserve">Alquiler esquí temporada</t>
  </si>
  <si>
    <t xml:space="preserve">Pyrennes PS5 23/24</t>
  </si>
  <si>
    <t xml:space="preserve">Pyrennes Moto 23/24</t>
  </si>
  <si>
    <t xml:space="preserve">Dacia 42/60</t>
  </si>
  <si>
    <t xml:space="preserve">SAAS 7/12</t>
  </si>
  <si>
    <t xml:space="preserve">Parking Caldea</t>
  </si>
  <si>
    <t xml:space="preserve">Microsoft anual</t>
  </si>
  <si>
    <t xml:space="preserve">Moto póliza</t>
  </si>
  <si>
    <t xml:space="preserve">Parking Caldea 2</t>
  </si>
  <si>
    <t xml:space="preserve">Control Financiero — Febrero 2025</t>
  </si>
  <si>
    <t xml:space="preserve">Moto Pyrennes 24/24</t>
  </si>
  <si>
    <t xml:space="preserve">PS5 Pyrennes 24/24</t>
  </si>
  <si>
    <t xml:space="preserve">Dacia 43/60 liquidado</t>
  </si>
  <si>
    <t xml:space="preserve">SAAS 8/12</t>
  </si>
  <si>
    <t xml:space="preserve">Credit complementario</t>
  </si>
  <si>
    <t xml:space="preserve">HP 1/3</t>
  </si>
  <si>
    <t xml:space="preserve">iPhone 16 1/12</t>
  </si>
  <si>
    <t xml:space="preserve">Control Financiero — Marzo 2025</t>
  </si>
  <si>
    <t xml:space="preserve">Universidad Carlemany 1/12 TDC</t>
  </si>
  <si>
    <t xml:space="preserve">SAAS 9/12</t>
  </si>
  <si>
    <t xml:space="preserve">Rodisnet anual</t>
  </si>
  <si>
    <t xml:space="preserve">HP 2/3</t>
  </si>
  <si>
    <t xml:space="preserve">iPhone 2/12</t>
  </si>
  <si>
    <t xml:space="preserve">Dacia 1/60</t>
  </si>
  <si>
    <t xml:space="preserve">Tarjeta crédito</t>
  </si>
  <si>
    <t xml:space="preserve">Control Financiero — Abril 2025</t>
  </si>
  <si>
    <t xml:space="preserve">SAAS 10/12</t>
  </si>
  <si>
    <t xml:space="preserve">Universidad Carlemany 2/12 TDC</t>
  </si>
  <si>
    <t xml:space="preserve">HP 3/3</t>
  </si>
  <si>
    <t xml:space="preserve">iPhone 3/12</t>
  </si>
  <si>
    <t xml:space="preserve">Dacia 2/60</t>
  </si>
  <si>
    <t xml:space="preserve">Becier 1/6</t>
  </si>
  <si>
    <t xml:space="preserve">Parking aeropuerto AENA</t>
  </si>
  <si>
    <t xml:space="preserve">29 abril</t>
  </si>
  <si>
    <t xml:space="preserve">Rent coche Malta 23 abril</t>
  </si>
  <si>
    <t xml:space="preserve">Fianza rent coche Malta 28 abril</t>
  </si>
  <si>
    <t xml:space="preserve">Control Financiero — Mayo 2025</t>
  </si>
  <si>
    <t xml:space="preserve">Morabanc 1/24</t>
  </si>
  <si>
    <t xml:space="preserve">SAAS 11/12</t>
  </si>
  <si>
    <t xml:space="preserve">Universidad 3/12</t>
  </si>
  <si>
    <t xml:space="preserve">Dacia 3/60</t>
  </si>
  <si>
    <t xml:space="preserve">Telecom</t>
  </si>
  <si>
    <t xml:space="preserve">Becier 2/6</t>
  </si>
  <si>
    <t xml:space="preserve">Control Financiero — Junio 2025</t>
  </si>
  <si>
    <t xml:space="preserve">Morabanc 2/24</t>
  </si>
  <si>
    <t xml:space="preserve">SAAS 12/12</t>
  </si>
  <si>
    <t xml:space="preserve">Universidad 4/12 TDC</t>
  </si>
  <si>
    <t xml:space="preserve">PIAM</t>
  </si>
  <si>
    <t xml:space="preserve">Dacia 4/60</t>
  </si>
  <si>
    <t xml:space="preserve">Peaje CADI</t>
  </si>
  <si>
    <t xml:space="preserve">Foc i lloc any 2025</t>
  </si>
  <si>
    <t xml:space="preserve">Comedor Elisel</t>
  </si>
  <si>
    <t xml:space="preserve">Control Financiero — Julio 2025</t>
  </si>
  <si>
    <t xml:space="preserve">Morabanc 3/24</t>
  </si>
  <si>
    <t xml:space="preserve">préstamo</t>
  </si>
  <si>
    <t xml:space="preserve">Universidad 5/12 TDC</t>
  </si>
  <si>
    <t xml:space="preserve">Dacia 5/60</t>
  </si>
  <si>
    <t xml:space="preserve">Becier 4/6</t>
  </si>
  <si>
    <t xml:space="preserve">Netflix TDC</t>
  </si>
  <si>
    <t xml:space="preserve">Impuesto esposa</t>
  </si>
  <si>
    <t xml:space="preserve">Comida SAAS</t>
  </si>
  <si>
    <t xml:space="preserve">Control Financiero — Agosto 2025</t>
  </si>
  <si>
    <t xml:space="preserve">Artal viaje Suiza</t>
  </si>
  <si>
    <t xml:space="preserve">Morabanc 4/24</t>
  </si>
  <si>
    <t xml:space="preserve">Universidad 6/12 TDC</t>
  </si>
  <si>
    <t xml:space="preserve">Dacia 6/60</t>
  </si>
  <si>
    <t xml:space="preserve">Becier 5/6</t>
  </si>
  <si>
    <t xml:space="preserve">TDC tarjeta crédito</t>
  </si>
  <si>
    <t xml:space="preserve">Creand salud</t>
  </si>
  <si>
    <t xml:space="preserve">Control Financiero — Septiembre 2025</t>
  </si>
  <si>
    <t xml:space="preserve">Morabanc 5/24</t>
  </si>
  <si>
    <t xml:space="preserve">cumpleaños Emilia</t>
  </si>
  <si>
    <t xml:space="preserve">Dacia 7/60</t>
  </si>
  <si>
    <t xml:space="preserve">revisar</t>
  </si>
  <si>
    <t xml:space="preserve">Peaje Suiza</t>
  </si>
  <si>
    <t xml:space="preserve">Becier 6/6</t>
  </si>
  <si>
    <t xml:space="preserve">Inlingua mes 1</t>
  </si>
  <si>
    <t xml:space="preserve">Matrícula maternal Inlingua</t>
  </si>
  <si>
    <t xml:space="preserve">Vía-T mantenimiento</t>
  </si>
  <si>
    <t xml:space="preserve">Control Financiero — Octubre 2025</t>
  </si>
  <si>
    <t xml:space="preserve">Morabanc 6/24</t>
  </si>
  <si>
    <t xml:space="preserve">viaje Corea Sur</t>
  </si>
  <si>
    <t xml:space="preserve">Dacia 8/60</t>
  </si>
  <si>
    <t xml:space="preserve">29/10</t>
  </si>
  <si>
    <t xml:space="preserve">Inlingua Emmanuel</t>
  </si>
  <si>
    <t xml:space="preserve">Control Financiero — Noviembre 2025</t>
  </si>
  <si>
    <t xml:space="preserve">Morabanc 7/24</t>
  </si>
  <si>
    <t xml:space="preserve">Dacia 9/60</t>
  </si>
  <si>
    <t xml:space="preserve">Barke</t>
  </si>
  <si>
    <t xml:space="preserve">Envío Venezuela (Miriam y Elida)</t>
  </si>
  <si>
    <t xml:space="preserve">Toner Negro HP</t>
  </si>
  <si>
    <t xml:space="preserve">Control Financiero — Diciembre 2025</t>
  </si>
  <si>
    <t xml:space="preserve">Morabanc 8/24</t>
  </si>
  <si>
    <t xml:space="preserve">Dacia 10/60</t>
  </si>
  <si>
    <t xml:space="preserve">Basque</t>
  </si>
  <si>
    <t xml:space="preserve">Baja Elisel</t>
  </si>
  <si>
    <t xml:space="preserve">Baja Emmanuel</t>
  </si>
  <si>
    <t xml:space="preserve">Envío Venezuela (Elida y Miriam)</t>
  </si>
  <si>
    <t xml:space="preserve">Esquí niños</t>
  </si>
  <si>
    <t xml:space="preserve">Piso póliza</t>
  </si>
  <si>
    <t xml:space="preserve">Moto mantenimiento</t>
  </si>
  <si>
    <t xml:space="preserve">Control Financiero — Enero 2026</t>
  </si>
  <si>
    <t xml:space="preserve">Morabanc 9/24</t>
  </si>
  <si>
    <t xml:space="preserve">Dacia 11/60</t>
  </si>
  <si>
    <t xml:space="preserve">Inlingua</t>
  </si>
  <si>
    <t xml:space="preserve">Basas EYE</t>
  </si>
  <si>
    <t xml:space="preserve">Crem Salud</t>
  </si>
  <si>
    <t xml:space="preserve">Control Financiero — Febrero 2026</t>
  </si>
  <si>
    <t xml:space="preserve">11 febrero</t>
  </si>
  <si>
    <t xml:space="preserve">Póliza Dacia anual</t>
  </si>
  <si>
    <t xml:space="preserve">11/02/26</t>
  </si>
  <si>
    <t xml:space="preserve">Morabanc 10/24</t>
  </si>
  <si>
    <t xml:space="preserve">Dacia 12/60</t>
  </si>
  <si>
    <t xml:space="preserve">Basas EDE</t>
  </si>
  <si>
    <t xml:space="preserve">Pintura piso mano obra Chiqui</t>
  </si>
  <si>
    <t xml:space="preserve">Peaje Vía-T Suiza</t>
  </si>
  <si>
    <t xml:space="preserve">Lavadora</t>
  </si>
  <si>
    <t xml:space="preserve">4Health anual</t>
  </si>
  <si>
    <t xml:space="preserve">Control Financiero — Marzo 2026</t>
  </si>
  <si>
    <t xml:space="preserve">Morabanc 11/24</t>
  </si>
  <si>
    <t xml:space="preserve">Morabanc Dacia 13/60</t>
  </si>
  <si>
    <t xml:space="preserve">Basas salud</t>
  </si>
  <si>
    <t xml:space="preserve">Control Financiero — Abril 2026</t>
  </si>
  <si>
    <t xml:space="preserve">Morabanc 12/24</t>
  </si>
  <si>
    <t xml:space="preserve">Morabanc Dacia 14/60</t>
  </si>
  <si>
    <t xml:space="preserve">Crem Salud complementaria</t>
  </si>
  <si>
    <t xml:space="preserve">Control Financiero — Mayo 2026</t>
  </si>
  <si>
    <t xml:space="preserve">Morabanc nuevo 1/24</t>
  </si>
  <si>
    <t xml:space="preserve">Morabanc Dacia 15/60</t>
  </si>
  <si>
    <t xml:space="preserve">Histórico anual — gastos totales por mes</t>
  </si>
  <si>
    <t xml:space="preserve">Año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</si>
  <si>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</si>
  <si>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</si>
  <si>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</si>
  <si>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</si>
  <si>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</si>
  <si>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</si>
  <si>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</si>
  <si>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</si>
  <si>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</si>
  <si>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</si>
  <si>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</si>
  <si>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</si>
  <si>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 AÑO</t>
  </si>
  <si>
    <t xml:space="preserve">2022</t>
  </si>
  <si>
    <t xml:space="preserve">-</t>
  </si>
  <si>
    <t xml:space="preserve">2023</t>
  </si>
  <si>
    <t xml:space="preserve">2024</t>
  </si>
  <si>
    <t xml:space="preserve">2025</t>
  </si>
  <si>
    <t xml:space="preserve">2026</t>
  </si>
  <si>
    <t xml:space="preserve">AHORRO AÑO</t>
  </si>
  <si>
    <t xml:space="preserve">Recordatorios — pagos próximos</t>
  </si>
  <si>
    <t xml:space="preserve">Importe</t>
  </si>
  <si>
    <t xml:space="preserve">Fecha</t>
  </si>
  <si>
    <t xml:space="preserve">Estado</t>
  </si>
  <si>
    <t xml:space="preserve">Morabanc cuota préstamo</t>
  </si>
  <si>
    <t xml:space="preserve">1 mayo 2026</t>
  </si>
  <si>
    <t xml:space="preserve">Pendiente</t>
  </si>
  <si>
    <t xml:space="preserve">Morabanc Dacia</t>
  </si>
  <si>
    <t xml:space="preserve">11 junio 2026</t>
  </si>
  <si>
    <t xml:space="preserve">Como usar este archivo</t>
  </si>
  <si>
    <t xml:space="preserve">Como registrar las nóminas cada mes</t>
  </si>
  <si>
    <t xml:space="preserve">El día 1 de cada mes, abre la hoja del mes (ej: 'Mayo 2026'). Las celdas azules en las filas 5 y 6 son para escribir la nómina de Emmanuel y la de tu esposa. El total de ingresos y el ahorro se calculan solos.</t>
  </si>
  <si>
    <t xml:space="preserve">Como añadir gastos</t>
  </si>
  <si>
    <t xml:space="preserve">Baja a la sección 'GASTOS DEL MES'. Hay filas vacías al final para añadir nuevos gastos. Escribe el concepto, el importe y quién pagó. El total y el ahorro se actualizan solos.</t>
  </si>
  <si>
    <t xml:space="preserve">Como crear el mes siguiente</t>
  </si>
  <si>
    <t xml:space="preserve">Click derecho en la pestaña del mes actual → Mover o copiar → marcar 'Crear copia'. Borra los importes variables y las nóminas (las celdas azules). Los gastos fijos que se repiten puedes dejarlos.</t>
  </si>
  <si>
    <t xml:space="preserve">Subir a Google Drive</t>
  </si>
  <si>
    <t xml:space="preserve">drive.google.com → botón + Nuevo → Subir archivo. Luego click derecho → Abrir con Google Sheets.</t>
  </si>
  <si>
    <t xml:space="preserve">Compartir con tu esposa</t>
  </si>
  <si>
    <t xml:space="preserve">Botón 'Compartir' arriba a la derecha → escribe el email de tu esposa → Editor → Listo. Los dos lo editan en tiempo real.</t>
  </si>
  <si>
    <t xml:space="preserve">Ver el histórico</t>
  </si>
  <si>
    <t xml:space="preserve">La hoja 'Histórico anual' muestra automáticamente el total de gastos y el ahorro de cada mes de todos los años.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</si>
</sst>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&quot;"/>
    <numFmt numFmtId="166" formatCode="#,##0.00&quot; €&quot;"/>
    <numFmt numFmtId="167" formatCode="#,##0&quot; €&quot;"/>
    <numFmt numFmtId="168" formatCode="#,##0&quot; €&quot;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7500A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888780"/>
      <name val="Arial"/>
      <family val="0"/>
      <charset val="1"/>
    </font>
    <font>
      <b val="true"/>
      <sz val="10"/>
      <color rgb="FF791F1F"/>
      <name val="Arial"/>
      <family val="0"/>
      <charset val="1"/>
    </font>
    <font>
      <sz val="10"/>
      <color rgb="FF27500A"/>
      <name val="Arial"/>
      <family val="0"/>
      <charset val="1"/>
    </font>
    <font>
      <sz val="10"/>
      <color rgb="FF791F1F"/>
      <name val="Arial"/>
      <family val="0"/>
      <charset val="1"/>
    </font>
    <font>
      <b val="true"/>
      <sz val="10"/>
      <color rgb="FF185FA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633806"/>
      <name val="Arial"/>
      <family val="0"/>
      <charset val="1"/>
    </font>
    <font>
      <sz val="10"/>
      <color rgb="FF44444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85FA5"/>
        <bgColor rgb="FF008080"/>
      </patternFill>
    </fill>
    <fill>
      <patternFill patternType="solid">
        <fgColor rgb="FF27500A"/>
        <bgColor rgb="FF444441"/>
      </patternFill>
    </fill>
    <fill>
      <patternFill patternType="solid">
        <fgColor rgb="FFEAF3DE"/>
        <bgColor rgb="FFF1EFE8"/>
      </patternFill>
    </fill>
    <fill>
      <patternFill patternType="solid">
        <fgColor rgb="FFFFFFFF"/>
        <bgColor rgb="FFF0FFF4"/>
      </patternFill>
    </fill>
    <fill>
      <patternFill patternType="solid">
        <fgColor rgb="FFEEF4FF"/>
        <bgColor rgb="FFE6F1FB"/>
      </patternFill>
    </fill>
    <fill>
      <patternFill patternType="solid">
        <fgColor rgb="FFF1EFE8"/>
        <bgColor rgb="FFEAF3DE"/>
      </patternFill>
    </fill>
    <fill>
      <patternFill patternType="solid">
        <fgColor rgb="FFF0FFF4"/>
        <bgColor rgb="FFFFFFFF"/>
      </patternFill>
    </fill>
    <fill>
      <patternFill patternType="solid">
        <fgColor rgb="FF791F1F"/>
        <bgColor rgb="FF633806"/>
      </patternFill>
    </fill>
    <fill>
      <patternFill patternType="solid">
        <fgColor rgb="FFFCEBEB"/>
        <bgColor rgb="FFFAEEDA"/>
      </patternFill>
    </fill>
    <fill>
      <patternFill patternType="solid">
        <fgColor rgb="FFE6F1FB"/>
        <bgColor rgb="FFEEF4FF"/>
      </patternFill>
    </fill>
    <fill>
      <patternFill patternType="solid">
        <fgColor rgb="FFFAEEDA"/>
        <bgColor rgb="FFFCEBE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780"/>
      <rgbColor rgb="FF9999FF"/>
      <rgbColor rgb="FF633806"/>
      <rgbColor rgb="FFFAEEDA"/>
      <rgbColor rgb="FFE6F1FB"/>
      <rgbColor rgb="FF660066"/>
      <rgbColor rgb="FFFF8080"/>
      <rgbColor rgb="FF185FA5"/>
      <rgbColor rgb="FFEEF4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FF4"/>
      <rgbColor rgb="FFEAF3DE"/>
      <rgbColor rgb="FFF1EFE8"/>
      <rgbColor rgb="FF99CCFF"/>
      <rgbColor rgb="FFFF99CC"/>
      <rgbColor rgb="FFCC99FF"/>
      <rgbColor rgb="FFFCEBE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7500A"/>
      <rgbColor rgb="FF791F1F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6" t="s">
        <v>7</v>
      </c>
      <c r="D5" s="7" t="s">
        <v>8</v>
      </c>
    </row>
    <row r="6" customFormat="false" ht="15" hidden="false" customHeight="false" outlineLevel="0" collapsed="false">
      <c r="A6" s="8" t="s">
        <v>9</v>
      </c>
      <c r="B6" s="9"/>
      <c r="C6" s="10" t="s">
        <v>10</v>
      </c>
      <c r="D6" s="11" t="s">
        <v>8</v>
      </c>
    </row>
    <row r="7" customFormat="false" ht="15" hidden="false" customHeight="false" outlineLevel="0" collapsed="false">
      <c r="A7" s="12" t="s">
        <v>11</v>
      </c>
      <c r="B7" s="1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fals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false" outlineLevel="0" collapsed="false">
      <c r="A11" s="10" t="s">
        <v>13</v>
      </c>
      <c r="B11" s="16" t="n">
        <v>223.65</v>
      </c>
      <c r="C11" s="10" t="s">
        <v>14</v>
      </c>
      <c r="D11" s="10"/>
    </row>
    <row r="12" customFormat="false" ht="15" hidden="false" customHeight="false" outlineLevel="0" collapsed="false">
      <c r="A12" s="6" t="s">
        <v>15</v>
      </c>
      <c r="B12" s="17" t="n">
        <v>44.6</v>
      </c>
      <c r="C12" s="6" t="s">
        <v>14</v>
      </c>
      <c r="D12" s="6"/>
    </row>
    <row r="13" customFormat="false" ht="15" hidden="false" customHeight="false" outlineLevel="0" collapsed="false">
      <c r="A13" s="10" t="s">
        <v>16</v>
      </c>
      <c r="B13" s="16" t="n">
        <v>71.5</v>
      </c>
      <c r="C13" s="10" t="s">
        <v>14</v>
      </c>
      <c r="D13" s="10"/>
    </row>
    <row r="14" customFormat="false" ht="15" hidden="false" customHeight="false" outlineLevel="0" collapsed="false">
      <c r="A14" s="6" t="s">
        <v>17</v>
      </c>
      <c r="B14" s="17" t="n">
        <v>31.5</v>
      </c>
      <c r="C14" s="6" t="s">
        <v>14</v>
      </c>
      <c r="D14" s="6"/>
    </row>
    <row r="15" customFormat="false" ht="15" hidden="false" customHeight="false" outlineLevel="0" collapsed="false">
      <c r="A15" s="10" t="s">
        <v>18</v>
      </c>
      <c r="B15" s="16" t="n">
        <v>811.5</v>
      </c>
      <c r="C15" s="10" t="s">
        <v>14</v>
      </c>
      <c r="D15" s="10"/>
    </row>
    <row r="16" customFormat="false" ht="15" hidden="false" customHeight="false" outlineLevel="0" collapsed="false">
      <c r="A16" s="6" t="s">
        <v>19</v>
      </c>
      <c r="B16" s="17" t="n">
        <v>110.14</v>
      </c>
      <c r="C16" s="6" t="s">
        <v>14</v>
      </c>
      <c r="D16" s="6"/>
    </row>
    <row r="17" customFormat="false" ht="15" hidden="false" customHeight="false" outlineLevel="0" collapsed="false">
      <c r="A17" s="10" t="s">
        <v>20</v>
      </c>
      <c r="B17" s="16" t="n">
        <v>230.25</v>
      </c>
      <c r="C17" s="10" t="s">
        <v>14</v>
      </c>
      <c r="D17" s="10"/>
    </row>
    <row r="18" customFormat="false" ht="15" hidden="false" customHeight="false" outlineLevel="0" collapsed="false">
      <c r="A18" s="6" t="s">
        <v>21</v>
      </c>
      <c r="B18" s="17" t="n">
        <v>60</v>
      </c>
      <c r="C18" s="6" t="s">
        <v>14</v>
      </c>
      <c r="D18" s="6"/>
    </row>
    <row r="19" customFormat="false" ht="15" hidden="false" customHeight="false" outlineLevel="0" collapsed="false">
      <c r="A19" s="10" t="s">
        <v>22</v>
      </c>
      <c r="B19" s="16" t="n">
        <v>19.63</v>
      </c>
      <c r="C19" s="10" t="s">
        <v>14</v>
      </c>
      <c r="D19" s="10"/>
    </row>
    <row r="20" customFormat="false" ht="15" hidden="false" customHeight="false" outlineLevel="0" collapsed="false">
      <c r="A20" s="6" t="s">
        <v>23</v>
      </c>
      <c r="B20" s="17" t="n">
        <v>24.44</v>
      </c>
      <c r="C20" s="6" t="s">
        <v>14</v>
      </c>
      <c r="D20" s="6"/>
    </row>
    <row r="21" customFormat="false" ht="15" hidden="false" customHeight="false" outlineLevel="0" collapsed="false">
      <c r="A21" s="10" t="s">
        <v>24</v>
      </c>
      <c r="B21" s="16" t="n">
        <v>84.99</v>
      </c>
      <c r="C21" s="10" t="s">
        <v>14</v>
      </c>
      <c r="D21" s="10"/>
    </row>
    <row r="22" customFormat="false" ht="15" hidden="false" customHeight="false" outlineLevel="0" collapsed="false">
      <c r="A22" s="6" t="s">
        <v>25</v>
      </c>
      <c r="B22" s="17" t="n">
        <v>50</v>
      </c>
      <c r="C22" s="6" t="s">
        <v>14</v>
      </c>
      <c r="D22" s="6"/>
    </row>
    <row r="23" customFormat="false" ht="15" hidden="false" customHeight="false" outlineLevel="0" collapsed="false">
      <c r="A23" s="10" t="s">
        <v>26</v>
      </c>
      <c r="B23" s="16" t="n">
        <v>60</v>
      </c>
      <c r="C23" s="10" t="s">
        <v>14</v>
      </c>
      <c r="D23" s="10"/>
    </row>
    <row r="24" customFormat="false" ht="15" hidden="false" customHeight="false" outlineLevel="0" collapsed="false">
      <c r="A24" s="6" t="s">
        <v>27</v>
      </c>
      <c r="B24" s="17" t="n">
        <v>49</v>
      </c>
      <c r="C24" s="6" t="s">
        <v>14</v>
      </c>
      <c r="D24" s="6"/>
    </row>
    <row r="25" customFormat="false" ht="15" hidden="false" customHeight="false" outlineLevel="0" collapsed="false">
      <c r="A25" s="10" t="s">
        <v>28</v>
      </c>
      <c r="B25" s="16" t="n">
        <v>14.68</v>
      </c>
      <c r="C25" s="10" t="s">
        <v>14</v>
      </c>
      <c r="D25" s="10"/>
    </row>
    <row r="26" customFormat="false" ht="15" hidden="false" customHeight="false" outlineLevel="0" collapsed="false">
      <c r="A26" s="6" t="s">
        <v>29</v>
      </c>
      <c r="B26" s="17" t="n">
        <v>81.7</v>
      </c>
      <c r="C26" s="6" t="s">
        <v>14</v>
      </c>
      <c r="D26" s="6"/>
    </row>
    <row r="27" customFormat="false" ht="15" hidden="false" customHeight="false" outlineLevel="0" collapsed="false">
      <c r="A27" s="10" t="s">
        <v>30</v>
      </c>
      <c r="B27" s="16" t="n">
        <v>243.5</v>
      </c>
      <c r="C27" s="10" t="s">
        <v>14</v>
      </c>
      <c r="D27" s="10"/>
    </row>
    <row r="28" customFormat="false" ht="15" hidden="false" customHeight="false" outlineLevel="0" collapsed="false">
      <c r="A28" s="6" t="s">
        <v>31</v>
      </c>
      <c r="B28" s="17" t="n">
        <v>99</v>
      </c>
      <c r="C28" s="6" t="s">
        <v>14</v>
      </c>
      <c r="D28" s="6"/>
    </row>
    <row r="29" customFormat="false" ht="15" hidden="false" customHeight="false" outlineLevel="0" collapsed="false">
      <c r="A29" s="10" t="s">
        <v>32</v>
      </c>
      <c r="B29" s="16" t="n">
        <v>133.34</v>
      </c>
      <c r="C29" s="10" t="s">
        <v>14</v>
      </c>
      <c r="D29" s="10"/>
    </row>
    <row r="30" customFormat="false" ht="15" hidden="false" customHeight="false" outlineLevel="0" collapsed="false">
      <c r="A30" s="6" t="s">
        <v>33</v>
      </c>
      <c r="B30" s="17" t="n">
        <v>74.03</v>
      </c>
      <c r="C30" s="6" t="s">
        <v>14</v>
      </c>
      <c r="D30" s="6"/>
    </row>
    <row r="31" customFormat="false" ht="15" hidden="false" customHeight="false" outlineLevel="0" collapsed="false">
      <c r="A31" s="10" t="s">
        <v>34</v>
      </c>
      <c r="B31" s="16" t="n">
        <v>115.18</v>
      </c>
      <c r="C31" s="10" t="s">
        <v>14</v>
      </c>
      <c r="D31" s="10"/>
    </row>
    <row r="32" customFormat="false" ht="15" hidden="false" customHeight="false" outlineLevel="0" collapsed="false">
      <c r="A32" s="6" t="s">
        <v>35</v>
      </c>
      <c r="B32" s="17" t="n">
        <v>45.11</v>
      </c>
      <c r="C32" s="6" t="s">
        <v>14</v>
      </c>
      <c r="D32" s="6"/>
    </row>
    <row r="33" customFormat="false" ht="15" hidden="false" customHeight="false" outlineLevel="0" collapsed="false">
      <c r="A33" s="10" t="s">
        <v>36</v>
      </c>
      <c r="B33" s="16" t="n">
        <v>380</v>
      </c>
      <c r="C33" s="10" t="s">
        <v>14</v>
      </c>
      <c r="D33" s="10"/>
    </row>
    <row r="34" customFormat="false" ht="15" hidden="false" customHeight="false" outlineLevel="0" collapsed="false">
      <c r="A34" s="6" t="s">
        <v>37</v>
      </c>
      <c r="B34" s="17" t="n">
        <v>29.63</v>
      </c>
      <c r="C34" s="6" t="s">
        <v>14</v>
      </c>
      <c r="D34" s="6"/>
    </row>
    <row r="35" customFormat="false" ht="15" hidden="false" customHeight="false" outlineLevel="0" collapsed="false">
      <c r="A35" s="10"/>
      <c r="B35" s="16"/>
      <c r="C35" s="10"/>
      <c r="D35" s="10"/>
    </row>
    <row r="36" customFormat="false" ht="15" hidden="false" customHeight="false" outlineLevel="0" collapsed="false">
      <c r="A36" s="6"/>
      <c r="B36" s="17"/>
      <c r="C36" s="6"/>
      <c r="D36" s="6"/>
    </row>
    <row r="37" customFormat="false" ht="15" hidden="false" customHeight="false" outlineLevel="0" collapsed="false">
      <c r="A37" s="10"/>
      <c r="B37" s="16"/>
      <c r="C37" s="10"/>
      <c r="D37" s="10"/>
    </row>
    <row r="38" customFormat="false" ht="15" hidden="false" customHeight="false" outlineLevel="0" collapsed="false">
      <c r="A38" s="6"/>
      <c r="B38" s="17"/>
      <c r="C38" s="6"/>
      <c r="D38" s="6"/>
    </row>
    <row r="39" customFormat="false" ht="15" hidden="false" customHeight="false" outlineLevel="0" collapsed="false">
      <c r="A39" s="10"/>
      <c r="B39" s="16"/>
      <c r="C39" s="10"/>
      <c r="D39" s="10"/>
    </row>
    <row r="40" customFormat="false" ht="15" hidden="false" customHeight="false" outlineLevel="0" collapsed="false">
      <c r="A40" s="18" t="s">
        <v>38</v>
      </c>
      <c r="B40" s="19" t="n">
        <f aca="false">SUM(B11:B39)</f>
        <v>3087.37</v>
      </c>
      <c r="C40" s="18"/>
      <c r="D40" s="18"/>
    </row>
    <row r="41" customFormat="false" ht="6" hidden="false" customHeight="true" outlineLevel="0" collapsed="false"/>
    <row r="42" customFormat="false" ht="15" hidden="false" customHeight="true" outlineLevel="0" collapsed="false">
      <c r="A42" s="20" t="s">
        <v>39</v>
      </c>
      <c r="B42" s="20"/>
      <c r="C42" s="20"/>
      <c r="D42" s="20"/>
    </row>
    <row r="43" customFormat="false" ht="15" hidden="false" customHeight="false" outlineLevel="0" collapsed="false">
      <c r="A43" s="21" t="s">
        <v>40</v>
      </c>
      <c r="B43" s="22" t="n">
        <f aca="false">B7</f>
        <v>0</v>
      </c>
      <c r="C43" s="23"/>
      <c r="D43" s="23"/>
    </row>
    <row r="44" customFormat="false" ht="15" hidden="false" customHeight="false" outlineLevel="0" collapsed="false">
      <c r="A44" s="24" t="s">
        <v>41</v>
      </c>
      <c r="B44" s="25" t="n">
        <f aca="false">B40</f>
        <v>3087.37</v>
      </c>
      <c r="C44" s="26"/>
      <c r="D44" s="26"/>
    </row>
    <row r="45" customFormat="false" ht="15" hidden="false" customHeight="false" outlineLevel="0" collapsed="false">
      <c r="A45" s="27" t="s">
        <v>42</v>
      </c>
      <c r="B45" s="28" t="n">
        <f aca="false">B43-B44</f>
        <v>-3087.37</v>
      </c>
      <c r="C45" s="29"/>
      <c r="D45" s="29"/>
    </row>
  </sheetData>
  <mergeCells count="7">
    <mergeCell ref="A1:D1"/>
    <mergeCell ref="A3:D3"/>
    <mergeCell ref="A9:D9"/>
    <mergeCell ref="A42:D42"/>
    <mergeCell ref="C43:D43"/>
    <mergeCell ref="C44:D44"/>
    <mergeCell ref="C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1" t="s">
        <v>43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6" t="s">
        <v>7</v>
      </c>
      <c r="D5" s="7" t="s">
        <v>8</v>
      </c>
    </row>
    <row r="6" customFormat="false" ht="15" hidden="false" customHeight="false" outlineLevel="0" collapsed="false">
      <c r="A6" s="8" t="s">
        <v>9</v>
      </c>
      <c r="B6" s="9"/>
      <c r="C6" s="10" t="s">
        <v>10</v>
      </c>
      <c r="D6" s="11" t="s">
        <v>8</v>
      </c>
    </row>
    <row r="7" customFormat="false" ht="15" hidden="false" customHeight="false" outlineLevel="0" collapsed="false">
      <c r="A7" s="12" t="s">
        <v>11</v>
      </c>
      <c r="B7" s="1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fals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false" outlineLevel="0" collapsed="false">
      <c r="A11" s="10" t="s">
        <v>44</v>
      </c>
      <c r="B11" s="16" t="n">
        <v>233.65</v>
      </c>
      <c r="C11" s="10" t="s">
        <v>14</v>
      </c>
      <c r="D11" s="10"/>
    </row>
    <row r="12" customFormat="false" ht="15" hidden="false" customHeight="false" outlineLevel="0" collapsed="false">
      <c r="A12" s="6" t="s">
        <v>15</v>
      </c>
      <c r="B12" s="17" t="n">
        <v>34.44</v>
      </c>
      <c r="C12" s="6" t="s">
        <v>14</v>
      </c>
      <c r="D12" s="6"/>
    </row>
    <row r="13" customFormat="false" ht="15" hidden="false" customHeight="false" outlineLevel="0" collapsed="false">
      <c r="A13" s="10" t="s">
        <v>16</v>
      </c>
      <c r="B13" s="16" t="n">
        <v>71.5</v>
      </c>
      <c r="C13" s="10" t="s">
        <v>14</v>
      </c>
      <c r="D13" s="10"/>
    </row>
    <row r="14" customFormat="false" ht="15" hidden="false" customHeight="false" outlineLevel="0" collapsed="false">
      <c r="A14" s="6" t="s">
        <v>17</v>
      </c>
      <c r="B14" s="17" t="n">
        <v>31.5</v>
      </c>
      <c r="C14" s="6" t="s">
        <v>14</v>
      </c>
      <c r="D14" s="6"/>
    </row>
    <row r="15" customFormat="false" ht="15" hidden="false" customHeight="false" outlineLevel="0" collapsed="false">
      <c r="A15" s="10" t="s">
        <v>18</v>
      </c>
      <c r="B15" s="16" t="n">
        <v>811.5</v>
      </c>
      <c r="C15" s="10" t="s">
        <v>14</v>
      </c>
      <c r="D15" s="10"/>
    </row>
    <row r="16" customFormat="false" ht="15" hidden="false" customHeight="false" outlineLevel="0" collapsed="false">
      <c r="A16" s="6" t="s">
        <v>45</v>
      </c>
      <c r="B16" s="17" t="n">
        <v>110.14</v>
      </c>
      <c r="C16" s="6" t="s">
        <v>14</v>
      </c>
      <c r="D16" s="6"/>
    </row>
    <row r="17" customFormat="false" ht="15" hidden="false" customHeight="false" outlineLevel="0" collapsed="false">
      <c r="A17" s="10" t="s">
        <v>46</v>
      </c>
      <c r="B17" s="16" t="n">
        <v>230.25</v>
      </c>
      <c r="C17" s="10" t="s">
        <v>14</v>
      </c>
      <c r="D17" s="10"/>
    </row>
    <row r="18" customFormat="false" ht="15" hidden="false" customHeight="false" outlineLevel="0" collapsed="false">
      <c r="A18" s="6" t="s">
        <v>21</v>
      </c>
      <c r="B18" s="17" t="n">
        <v>60</v>
      </c>
      <c r="C18" s="6" t="s">
        <v>14</v>
      </c>
      <c r="D18" s="6"/>
    </row>
    <row r="19" customFormat="false" ht="15" hidden="false" customHeight="false" outlineLevel="0" collapsed="false">
      <c r="A19" s="10" t="s">
        <v>22</v>
      </c>
      <c r="B19" s="16" t="n">
        <v>19.63</v>
      </c>
      <c r="C19" s="10" t="s">
        <v>14</v>
      </c>
      <c r="D19" s="10"/>
    </row>
    <row r="20" customFormat="false" ht="15" hidden="false" customHeight="false" outlineLevel="0" collapsed="false">
      <c r="A20" s="6" t="s">
        <v>23</v>
      </c>
      <c r="B20" s="17" t="n">
        <v>24.44</v>
      </c>
      <c r="C20" s="6" t="s">
        <v>14</v>
      </c>
      <c r="D20" s="6"/>
    </row>
    <row r="21" customFormat="false" ht="15" hidden="false" customHeight="false" outlineLevel="0" collapsed="false">
      <c r="A21" s="10" t="s">
        <v>47</v>
      </c>
      <c r="B21" s="16" t="n">
        <v>84.44</v>
      </c>
      <c r="C21" s="10" t="s">
        <v>14</v>
      </c>
      <c r="D21" s="10"/>
    </row>
    <row r="22" customFormat="false" ht="15" hidden="false" customHeight="false" outlineLevel="0" collapsed="false">
      <c r="A22" s="6" t="s">
        <v>48</v>
      </c>
      <c r="B22" s="17" t="n">
        <v>50</v>
      </c>
      <c r="C22" s="6" t="s">
        <v>14</v>
      </c>
      <c r="D22" s="6"/>
    </row>
    <row r="23" customFormat="false" ht="15" hidden="false" customHeight="false" outlineLevel="0" collapsed="false">
      <c r="A23" s="10" t="s">
        <v>49</v>
      </c>
      <c r="B23" s="16" t="n">
        <v>60</v>
      </c>
      <c r="C23" s="10" t="s">
        <v>14</v>
      </c>
      <c r="D23" s="10"/>
    </row>
    <row r="24" customFormat="false" ht="15" hidden="false" customHeight="false" outlineLevel="0" collapsed="false">
      <c r="A24" s="6" t="s">
        <v>27</v>
      </c>
      <c r="B24" s="17" t="n">
        <v>49</v>
      </c>
      <c r="C24" s="6" t="s">
        <v>14</v>
      </c>
      <c r="D24" s="6"/>
    </row>
    <row r="25" customFormat="false" ht="15" hidden="false" customHeight="false" outlineLevel="0" collapsed="false">
      <c r="A25" s="10" t="s">
        <v>28</v>
      </c>
      <c r="B25" s="16" t="n">
        <v>14.68</v>
      </c>
      <c r="C25" s="10" t="s">
        <v>14</v>
      </c>
      <c r="D25" s="10"/>
    </row>
    <row r="26" customFormat="false" ht="15" hidden="false" customHeight="false" outlineLevel="0" collapsed="false">
      <c r="A26" s="6" t="s">
        <v>50</v>
      </c>
      <c r="B26" s="17" t="n">
        <v>162</v>
      </c>
      <c r="C26" s="6" t="s">
        <v>14</v>
      </c>
      <c r="D26" s="6"/>
    </row>
    <row r="27" customFormat="false" ht="15" hidden="false" customHeight="false" outlineLevel="0" collapsed="false">
      <c r="A27" s="10" t="s">
        <v>51</v>
      </c>
      <c r="B27" s="16" t="n">
        <v>243.5</v>
      </c>
      <c r="C27" s="10" t="s">
        <v>14</v>
      </c>
      <c r="D27" s="10"/>
    </row>
    <row r="28" customFormat="false" ht="15" hidden="false" customHeight="false" outlineLevel="0" collapsed="false">
      <c r="A28" s="6" t="s">
        <v>31</v>
      </c>
      <c r="B28" s="17" t="n">
        <v>100.3</v>
      </c>
      <c r="C28" s="6" t="s">
        <v>14</v>
      </c>
      <c r="D28" s="6"/>
    </row>
    <row r="29" customFormat="false" ht="15" hidden="false" customHeight="false" outlineLevel="0" collapsed="false">
      <c r="A29" s="10" t="s">
        <v>52</v>
      </c>
      <c r="B29" s="16" t="n">
        <v>133.34</v>
      </c>
      <c r="C29" s="10" t="s">
        <v>14</v>
      </c>
      <c r="D29" s="10"/>
    </row>
    <row r="30" customFormat="false" ht="15" hidden="false" customHeight="false" outlineLevel="0" collapsed="false">
      <c r="A30" s="6" t="s">
        <v>33</v>
      </c>
      <c r="B30" s="17" t="n">
        <v>118.89</v>
      </c>
      <c r="C30" s="6" t="s">
        <v>14</v>
      </c>
      <c r="D30" s="6"/>
    </row>
    <row r="31" customFormat="false" ht="15" hidden="false" customHeight="false" outlineLevel="0" collapsed="false">
      <c r="A31" s="10" t="s">
        <v>53</v>
      </c>
      <c r="B31" s="16" t="n">
        <v>47.28</v>
      </c>
      <c r="C31" s="10" t="s">
        <v>14</v>
      </c>
      <c r="D31" s="10"/>
    </row>
    <row r="32" customFormat="false" ht="15" hidden="false" customHeight="false" outlineLevel="0" collapsed="false">
      <c r="A32" s="6"/>
      <c r="B32" s="17"/>
      <c r="C32" s="6"/>
      <c r="D32" s="6"/>
    </row>
    <row r="33" customFormat="false" ht="15" hidden="false" customHeight="false" outlineLevel="0" collapsed="false">
      <c r="A33" s="10"/>
      <c r="B33" s="16"/>
      <c r="C33" s="10"/>
      <c r="D33" s="10"/>
    </row>
    <row r="34" customFormat="false" ht="15" hidden="false" customHeight="false" outlineLevel="0" collapsed="false">
      <c r="A34" s="6"/>
      <c r="B34" s="17"/>
      <c r="C34" s="6"/>
      <c r="D34" s="6"/>
    </row>
    <row r="35" customFormat="false" ht="15" hidden="false" customHeight="false" outlineLevel="0" collapsed="false">
      <c r="A35" s="10"/>
      <c r="B35" s="16"/>
      <c r="C35" s="10"/>
      <c r="D35" s="10"/>
    </row>
    <row r="36" customFormat="false" ht="15" hidden="false" customHeight="false" outlineLevel="0" collapsed="false">
      <c r="A36" s="6"/>
      <c r="B36" s="17"/>
      <c r="C36" s="6"/>
      <c r="D36" s="6"/>
    </row>
    <row r="37" customFormat="false" ht="15" hidden="false" customHeight="false" outlineLevel="0" collapsed="false">
      <c r="A37" s="18" t="s">
        <v>38</v>
      </c>
      <c r="B37" s="19" t="n">
        <f aca="false">SUM(B11:B36)</f>
        <v>2690.48</v>
      </c>
      <c r="C37" s="18"/>
      <c r="D37" s="18"/>
    </row>
    <row r="38" customFormat="false" ht="6" hidden="false" customHeight="true" outlineLevel="0" collapsed="false"/>
    <row r="39" customFormat="false" ht="15" hidden="false" customHeight="true" outlineLevel="0" collapsed="false">
      <c r="A39" s="20" t="s">
        <v>39</v>
      </c>
      <c r="B39" s="20"/>
      <c r="C39" s="20"/>
      <c r="D39" s="20"/>
    </row>
    <row r="40" customFormat="false" ht="15" hidden="false" customHeight="false" outlineLevel="0" collapsed="false">
      <c r="A40" s="21" t="s">
        <v>40</v>
      </c>
      <c r="B40" s="22" t="n">
        <f aca="false">B7</f>
        <v>0</v>
      </c>
      <c r="C40" s="23"/>
      <c r="D40" s="23"/>
    </row>
    <row r="41" customFormat="false" ht="15" hidden="false" customHeight="false" outlineLevel="0" collapsed="false">
      <c r="A41" s="24" t="s">
        <v>41</v>
      </c>
      <c r="B41" s="25" t="n">
        <f aca="false">B37</f>
        <v>2690.48</v>
      </c>
      <c r="C41" s="26"/>
      <c r="D41" s="26"/>
    </row>
    <row r="42" customFormat="false" ht="15" hidden="false" customHeight="false" outlineLevel="0" collapsed="false">
      <c r="A42" s="27" t="s">
        <v>42</v>
      </c>
      <c r="B42" s="28" t="n">
        <f aca="false">B40-B41</f>
        <v>-2690.48</v>
      </c>
      <c r="C42" s="29"/>
      <c r="D42" s="29"/>
    </row>
  </sheetData>
  <mergeCells count="7">
    <mergeCell ref="A1:D1"/>
    <mergeCell ref="A3:D3"/>
    <mergeCell ref="A9:D9"/>
    <mergeCell ref="A39:D39"/>
    <mergeCell ref="C40:D40"/>
    <mergeCell ref="C41:D41"/>
    <mergeCell ref="C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1" t="s">
        <v>54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6" t="s">
        <v>7</v>
      </c>
      <c r="D5" s="7" t="s">
        <v>8</v>
      </c>
    </row>
    <row r="6" customFormat="false" ht="15" hidden="false" customHeight="false" outlineLevel="0" collapsed="false">
      <c r="A6" s="8" t="s">
        <v>9</v>
      </c>
      <c r="B6" s="9"/>
      <c r="C6" s="10" t="s">
        <v>10</v>
      </c>
      <c r="D6" s="11" t="s">
        <v>8</v>
      </c>
    </row>
    <row r="7" customFormat="false" ht="15" hidden="false" customHeight="false" outlineLevel="0" collapsed="false">
      <c r="A7" s="12" t="s">
        <v>11</v>
      </c>
      <c r="B7" s="1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fals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false" outlineLevel="0" collapsed="false">
      <c r="A11" s="10" t="s">
        <v>55</v>
      </c>
      <c r="B11" s="16" t="n">
        <v>233.65</v>
      </c>
      <c r="C11" s="10" t="s">
        <v>14</v>
      </c>
      <c r="D11" s="10"/>
    </row>
    <row r="12" customFormat="false" ht="15" hidden="false" customHeight="false" outlineLevel="0" collapsed="false">
      <c r="A12" s="6" t="s">
        <v>56</v>
      </c>
      <c r="B12" s="17" t="n">
        <v>106.88</v>
      </c>
      <c r="C12" s="6" t="s">
        <v>14</v>
      </c>
      <c r="D12" s="6"/>
    </row>
    <row r="13" customFormat="false" ht="15" hidden="false" customHeight="false" outlineLevel="0" collapsed="false">
      <c r="A13" s="10" t="s">
        <v>57</v>
      </c>
      <c r="B13" s="16" t="n">
        <v>31.98</v>
      </c>
      <c r="C13" s="10" t="s">
        <v>14</v>
      </c>
      <c r="D13" s="10"/>
    </row>
    <row r="14" customFormat="false" ht="15" hidden="false" customHeight="false" outlineLevel="0" collapsed="false">
      <c r="A14" s="6" t="s">
        <v>57</v>
      </c>
      <c r="B14" s="17" t="n">
        <v>74.06</v>
      </c>
      <c r="C14" s="6" t="s">
        <v>14</v>
      </c>
      <c r="D14" s="6"/>
    </row>
    <row r="15" customFormat="false" ht="15" hidden="false" customHeight="false" outlineLevel="0" collapsed="false">
      <c r="A15" s="10" t="s">
        <v>57</v>
      </c>
      <c r="B15" s="16" t="n">
        <v>95.18</v>
      </c>
      <c r="C15" s="10" t="s">
        <v>14</v>
      </c>
      <c r="D15" s="10"/>
    </row>
    <row r="16" customFormat="false" ht="15" hidden="false" customHeight="false" outlineLevel="0" collapsed="false">
      <c r="A16" s="6" t="s">
        <v>16</v>
      </c>
      <c r="B16" s="17" t="n">
        <v>71.5</v>
      </c>
      <c r="C16" s="6" t="s">
        <v>14</v>
      </c>
      <c r="D16" s="6"/>
    </row>
    <row r="17" customFormat="false" ht="15" hidden="false" customHeight="false" outlineLevel="0" collapsed="false">
      <c r="A17" s="10" t="s">
        <v>17</v>
      </c>
      <c r="B17" s="16" t="n">
        <v>31.5</v>
      </c>
      <c r="C17" s="10" t="s">
        <v>14</v>
      </c>
      <c r="D17" s="10"/>
    </row>
    <row r="18" customFormat="false" ht="15" hidden="false" customHeight="false" outlineLevel="0" collapsed="false">
      <c r="A18" s="6" t="s">
        <v>18</v>
      </c>
      <c r="B18" s="17" t="n">
        <v>811.5</v>
      </c>
      <c r="C18" s="6" t="s">
        <v>14</v>
      </c>
      <c r="D18" s="6"/>
    </row>
    <row r="19" customFormat="false" ht="15" hidden="false" customHeight="false" outlineLevel="0" collapsed="false">
      <c r="A19" s="10" t="s">
        <v>46</v>
      </c>
      <c r="B19" s="16" t="n">
        <v>230.25</v>
      </c>
      <c r="C19" s="10" t="s">
        <v>14</v>
      </c>
      <c r="D19" s="10"/>
    </row>
    <row r="20" customFormat="false" ht="15" hidden="false" customHeight="false" outlineLevel="0" collapsed="false">
      <c r="A20" s="6" t="s">
        <v>21</v>
      </c>
      <c r="B20" s="17" t="n">
        <v>60</v>
      </c>
      <c r="C20" s="6" t="s">
        <v>14</v>
      </c>
      <c r="D20" s="6"/>
    </row>
    <row r="21" customFormat="false" ht="15" hidden="false" customHeight="false" outlineLevel="0" collapsed="false">
      <c r="A21" s="10" t="s">
        <v>22</v>
      </c>
      <c r="B21" s="16" t="n">
        <v>19.63</v>
      </c>
      <c r="C21" s="10" t="s">
        <v>14</v>
      </c>
      <c r="D21" s="10"/>
    </row>
    <row r="22" customFormat="false" ht="15" hidden="false" customHeight="false" outlineLevel="0" collapsed="false">
      <c r="A22" s="6" t="s">
        <v>23</v>
      </c>
      <c r="B22" s="17" t="n">
        <v>24.44</v>
      </c>
      <c r="C22" s="6" t="s">
        <v>14</v>
      </c>
      <c r="D22" s="6"/>
    </row>
    <row r="23" customFormat="false" ht="15" hidden="false" customHeight="false" outlineLevel="0" collapsed="false">
      <c r="A23" s="10" t="s">
        <v>58</v>
      </c>
      <c r="B23" s="16" t="n">
        <v>89.28</v>
      </c>
      <c r="C23" s="10" t="s">
        <v>14</v>
      </c>
      <c r="D23" s="10"/>
    </row>
    <row r="24" customFormat="false" ht="15" hidden="false" customHeight="false" outlineLevel="0" collapsed="false">
      <c r="A24" s="6" t="s">
        <v>59</v>
      </c>
      <c r="B24" s="17" t="n">
        <v>50</v>
      </c>
      <c r="C24" s="6" t="s">
        <v>14</v>
      </c>
      <c r="D24" s="6"/>
    </row>
    <row r="25" customFormat="false" ht="15" hidden="false" customHeight="false" outlineLevel="0" collapsed="false">
      <c r="A25" s="10" t="s">
        <v>60</v>
      </c>
      <c r="B25" s="16" t="n">
        <v>30</v>
      </c>
      <c r="C25" s="10" t="s">
        <v>14</v>
      </c>
      <c r="D25" s="10"/>
    </row>
    <row r="26" customFormat="false" ht="15" hidden="false" customHeight="false" outlineLevel="0" collapsed="false">
      <c r="A26" s="6" t="s">
        <v>61</v>
      </c>
      <c r="B26" s="17" t="n">
        <v>49</v>
      </c>
      <c r="C26" s="6" t="s">
        <v>14</v>
      </c>
      <c r="D26" s="6"/>
    </row>
    <row r="27" customFormat="false" ht="15" hidden="false" customHeight="false" outlineLevel="0" collapsed="false">
      <c r="A27" s="10" t="s">
        <v>28</v>
      </c>
      <c r="B27" s="16" t="n">
        <v>14.68</v>
      </c>
      <c r="C27" s="10" t="s">
        <v>14</v>
      </c>
      <c r="D27" s="10"/>
    </row>
    <row r="28" customFormat="false" ht="15" hidden="false" customHeight="false" outlineLevel="0" collapsed="false">
      <c r="A28" s="6" t="s">
        <v>50</v>
      </c>
      <c r="B28" s="17" t="n">
        <v>162</v>
      </c>
      <c r="C28" s="6" t="s">
        <v>14</v>
      </c>
      <c r="D28" s="6"/>
    </row>
    <row r="29" customFormat="false" ht="15" hidden="false" customHeight="false" outlineLevel="0" collapsed="false">
      <c r="A29" s="10" t="s">
        <v>62</v>
      </c>
      <c r="B29" s="16" t="n">
        <v>243.5</v>
      </c>
      <c r="C29" s="10" t="s">
        <v>14</v>
      </c>
      <c r="D29" s="10"/>
    </row>
    <row r="30" customFormat="false" ht="15" hidden="false" customHeight="false" outlineLevel="0" collapsed="false">
      <c r="A30" s="6" t="s">
        <v>63</v>
      </c>
      <c r="B30" s="17" t="n">
        <v>30</v>
      </c>
      <c r="C30" s="6" t="s">
        <v>10</v>
      </c>
      <c r="D30" s="6"/>
    </row>
    <row r="31" customFormat="false" ht="15" hidden="false" customHeight="false" outlineLevel="0" collapsed="false">
      <c r="A31" s="10" t="s">
        <v>31</v>
      </c>
      <c r="B31" s="16" t="n">
        <v>104.75</v>
      </c>
      <c r="C31" s="10" t="s">
        <v>14</v>
      </c>
      <c r="D31" s="10"/>
    </row>
    <row r="32" customFormat="false" ht="15" hidden="false" customHeight="false" outlineLevel="0" collapsed="false">
      <c r="A32" s="6" t="s">
        <v>64</v>
      </c>
      <c r="B32" s="17" t="n">
        <v>103.08</v>
      </c>
      <c r="C32" s="6" t="s">
        <v>14</v>
      </c>
      <c r="D32" s="6"/>
    </row>
    <row r="33" customFormat="false" ht="15" hidden="false" customHeight="false" outlineLevel="0" collapsed="false">
      <c r="A33" s="10" t="s">
        <v>65</v>
      </c>
      <c r="B33" s="16" t="n">
        <v>140.68</v>
      </c>
      <c r="C33" s="10" t="s">
        <v>14</v>
      </c>
      <c r="D33" s="10"/>
    </row>
    <row r="34" customFormat="false" ht="15" hidden="false" customHeight="false" outlineLevel="0" collapsed="false">
      <c r="A34" s="6" t="s">
        <v>33</v>
      </c>
      <c r="B34" s="17" t="n">
        <v>231.07</v>
      </c>
      <c r="C34" s="6" t="s">
        <v>14</v>
      </c>
      <c r="D34" s="6"/>
    </row>
    <row r="35" customFormat="false" ht="15" hidden="false" customHeight="false" outlineLevel="0" collapsed="false">
      <c r="A35" s="10" t="s">
        <v>66</v>
      </c>
      <c r="B35" s="16" t="n">
        <v>14.2</v>
      </c>
      <c r="C35" s="10" t="s">
        <v>14</v>
      </c>
      <c r="D35" s="10"/>
    </row>
    <row r="36" customFormat="false" ht="15" hidden="false" customHeight="false" outlineLevel="0" collapsed="false">
      <c r="A36" s="6" t="s">
        <v>67</v>
      </c>
      <c r="B36" s="17" t="n">
        <v>14.27</v>
      </c>
      <c r="C36" s="6" t="s">
        <v>14</v>
      </c>
      <c r="D36" s="6" t="s">
        <v>68</v>
      </c>
    </row>
    <row r="37" customFormat="false" ht="15" hidden="false" customHeight="false" outlineLevel="0" collapsed="false">
      <c r="A37" s="10" t="s">
        <v>69</v>
      </c>
      <c r="B37" s="16" t="n">
        <v>23.04</v>
      </c>
      <c r="C37" s="10" t="s">
        <v>14</v>
      </c>
      <c r="D37" s="10"/>
    </row>
    <row r="38" customFormat="false" ht="15" hidden="false" customHeight="false" outlineLevel="0" collapsed="false">
      <c r="A38" s="6"/>
      <c r="B38" s="17"/>
      <c r="C38" s="6"/>
      <c r="D38" s="6"/>
    </row>
    <row r="39" customFormat="false" ht="15" hidden="false" customHeight="false" outlineLevel="0" collapsed="false">
      <c r="A39" s="10"/>
      <c r="B39" s="16"/>
      <c r="C39" s="10"/>
      <c r="D39" s="10"/>
    </row>
    <row r="40" customFormat="false" ht="15" hidden="false" customHeight="false" outlineLevel="0" collapsed="false">
      <c r="A40" s="6"/>
      <c r="B40" s="17"/>
      <c r="C40" s="6"/>
      <c r="D40" s="6"/>
    </row>
    <row r="41" customFormat="false" ht="15" hidden="false" customHeight="false" outlineLevel="0" collapsed="false">
      <c r="A41" s="10"/>
      <c r="B41" s="16"/>
      <c r="C41" s="10"/>
      <c r="D41" s="10"/>
    </row>
    <row r="42" customFormat="false" ht="15" hidden="false" customHeight="false" outlineLevel="0" collapsed="false">
      <c r="A42" s="6"/>
      <c r="B42" s="17"/>
      <c r="C42" s="6"/>
      <c r="D42" s="6"/>
    </row>
    <row r="43" customFormat="false" ht="15" hidden="false" customHeight="false" outlineLevel="0" collapsed="false">
      <c r="A43" s="18" t="s">
        <v>38</v>
      </c>
      <c r="B43" s="19" t="n">
        <f aca="false">SUM(B11:B42)</f>
        <v>3090.12</v>
      </c>
      <c r="C43" s="18"/>
      <c r="D43" s="18"/>
    </row>
    <row r="44" customFormat="false" ht="6" hidden="false" customHeight="true" outlineLevel="0" collapsed="false"/>
    <row r="45" customFormat="false" ht="15" hidden="false" customHeight="true" outlineLevel="0" collapsed="false">
      <c r="A45" s="20" t="s">
        <v>39</v>
      </c>
      <c r="B45" s="20"/>
      <c r="C45" s="20"/>
      <c r="D45" s="20"/>
    </row>
    <row r="46" customFormat="false" ht="15" hidden="false" customHeight="false" outlineLevel="0" collapsed="false">
      <c r="A46" s="21" t="s">
        <v>40</v>
      </c>
      <c r="B46" s="22" t="n">
        <f aca="false">B7</f>
        <v>0</v>
      </c>
      <c r="C46" s="23"/>
      <c r="D46" s="23"/>
    </row>
    <row r="47" customFormat="false" ht="15" hidden="false" customHeight="false" outlineLevel="0" collapsed="false">
      <c r="A47" s="24" t="s">
        <v>41</v>
      </c>
      <c r="B47" s="25" t="n">
        <f aca="false">B43</f>
        <v>3090.12</v>
      </c>
      <c r="C47" s="26"/>
      <c r="D47" s="26"/>
    </row>
    <row r="48" customFormat="false" ht="15" hidden="false" customHeight="false" outlineLevel="0" collapsed="false">
      <c r="A48" s="27" t="s">
        <v>42</v>
      </c>
      <c r="B48" s="28" t="n">
        <f aca="false">B46-B47</f>
        <v>-3090.12</v>
      </c>
      <c r="C48" s="29"/>
      <c r="D48" s="29"/>
    </row>
  </sheetData>
  <mergeCells count="7">
    <mergeCell ref="A1:D1"/>
    <mergeCell ref="A3:D3"/>
    <mergeCell ref="A9:D9"/>
    <mergeCell ref="A45:D45"/>
    <mergeCell ref="C46:D46"/>
    <mergeCell ref="C47:D47"/>
    <mergeCell ref="C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1" t="s">
        <v>70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6" t="s">
        <v>7</v>
      </c>
      <c r="D5" s="7" t="s">
        <v>8</v>
      </c>
    </row>
    <row r="6" customFormat="false" ht="15" hidden="false" customHeight="false" outlineLevel="0" collapsed="false">
      <c r="A6" s="8" t="s">
        <v>9</v>
      </c>
      <c r="B6" s="9"/>
      <c r="C6" s="10" t="s">
        <v>10</v>
      </c>
      <c r="D6" s="11" t="s">
        <v>8</v>
      </c>
    </row>
    <row r="7" customFormat="false" ht="15" hidden="false" customHeight="false" outlineLevel="0" collapsed="false">
      <c r="A7" s="12" t="s">
        <v>11</v>
      </c>
      <c r="B7" s="1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fals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false" outlineLevel="0" collapsed="false">
      <c r="A11" s="10" t="s">
        <v>71</v>
      </c>
      <c r="B11" s="16" t="n">
        <v>233.65</v>
      </c>
      <c r="C11" s="10" t="s">
        <v>14</v>
      </c>
      <c r="D11" s="10"/>
    </row>
    <row r="12" customFormat="false" ht="15" hidden="false" customHeight="false" outlineLevel="0" collapsed="false">
      <c r="A12" s="6" t="s">
        <v>72</v>
      </c>
      <c r="B12" s="17" t="n">
        <v>62.43</v>
      </c>
      <c r="C12" s="6" t="s">
        <v>7</v>
      </c>
      <c r="D12" s="6"/>
    </row>
    <row r="13" customFormat="false" ht="15" hidden="false" customHeight="false" outlineLevel="0" collapsed="false">
      <c r="A13" s="10" t="s">
        <v>73</v>
      </c>
      <c r="B13" s="16" t="n">
        <v>230.25</v>
      </c>
      <c r="C13" s="10" t="s">
        <v>14</v>
      </c>
      <c r="D13" s="10"/>
    </row>
    <row r="14" customFormat="false" ht="15" hidden="false" customHeight="false" outlineLevel="0" collapsed="false">
      <c r="A14" s="6" t="s">
        <v>74</v>
      </c>
      <c r="B14" s="17" t="n">
        <v>843.5</v>
      </c>
      <c r="C14" s="6" t="s">
        <v>14</v>
      </c>
      <c r="D14" s="6"/>
    </row>
    <row r="15" customFormat="false" ht="15" hidden="false" customHeight="false" outlineLevel="0" collapsed="false">
      <c r="A15" s="10" t="s">
        <v>75</v>
      </c>
      <c r="B15" s="16" t="n">
        <v>35.76</v>
      </c>
      <c r="C15" s="10" t="s">
        <v>14</v>
      </c>
      <c r="D15" s="10"/>
    </row>
    <row r="16" customFormat="false" ht="15" hidden="false" customHeight="false" outlineLevel="0" collapsed="false">
      <c r="A16" s="6" t="s">
        <v>16</v>
      </c>
      <c r="B16" s="17" t="n">
        <v>81.44</v>
      </c>
      <c r="C16" s="6" t="s">
        <v>14</v>
      </c>
      <c r="D16" s="6"/>
    </row>
    <row r="17" customFormat="false" ht="15" hidden="false" customHeight="false" outlineLevel="0" collapsed="false">
      <c r="A17" s="10" t="s">
        <v>21</v>
      </c>
      <c r="B17" s="16" t="n">
        <v>60</v>
      </c>
      <c r="C17" s="10" t="s">
        <v>14</v>
      </c>
      <c r="D17" s="10"/>
    </row>
    <row r="18" customFormat="false" ht="15" hidden="false" customHeight="false" outlineLevel="0" collapsed="false">
      <c r="A18" s="6" t="s">
        <v>76</v>
      </c>
      <c r="B18" s="17" t="n">
        <v>60</v>
      </c>
      <c r="C18" s="6" t="s">
        <v>14</v>
      </c>
      <c r="D18" s="6"/>
    </row>
    <row r="19" customFormat="false" ht="15" hidden="false" customHeight="false" outlineLevel="0" collapsed="false">
      <c r="A19" s="10" t="s">
        <v>77</v>
      </c>
      <c r="B19" s="16" t="n">
        <v>85.3</v>
      </c>
      <c r="C19" s="10" t="s">
        <v>14</v>
      </c>
      <c r="D19" s="10"/>
    </row>
    <row r="20" customFormat="false" ht="15" hidden="false" customHeight="false" outlineLevel="0" collapsed="false">
      <c r="A20" s="6" t="s">
        <v>78</v>
      </c>
      <c r="B20" s="17" t="n">
        <v>162</v>
      </c>
      <c r="C20" s="6" t="s">
        <v>14</v>
      </c>
      <c r="D20" s="6"/>
    </row>
    <row r="21" customFormat="false" ht="15" hidden="false" customHeight="false" outlineLevel="0" collapsed="false">
      <c r="A21" s="10" t="s">
        <v>31</v>
      </c>
      <c r="B21" s="16" t="n">
        <v>99</v>
      </c>
      <c r="C21" s="10" t="s">
        <v>14</v>
      </c>
      <c r="D21" s="10"/>
    </row>
    <row r="22" customFormat="false" ht="15" hidden="false" customHeight="false" outlineLevel="0" collapsed="false">
      <c r="A22" s="6" t="s">
        <v>79</v>
      </c>
      <c r="B22" s="17" t="n">
        <v>271.77</v>
      </c>
      <c r="C22" s="6" t="s">
        <v>7</v>
      </c>
      <c r="D22" s="6"/>
    </row>
    <row r="23" customFormat="false" ht="15" hidden="false" customHeight="false" outlineLevel="0" collapsed="false">
      <c r="A23" s="10" t="s">
        <v>80</v>
      </c>
      <c r="B23" s="16" t="n">
        <v>88.91</v>
      </c>
      <c r="C23" s="10" t="s">
        <v>7</v>
      </c>
      <c r="D23" s="10"/>
    </row>
    <row r="24" customFormat="false" ht="15" hidden="false" customHeight="false" outlineLevel="0" collapsed="false">
      <c r="A24" s="6" t="s">
        <v>81</v>
      </c>
      <c r="B24" s="17" t="n">
        <v>3.24</v>
      </c>
      <c r="C24" s="6" t="s">
        <v>10</v>
      </c>
      <c r="D24" s="6"/>
    </row>
    <row r="25" customFormat="false" ht="15" hidden="false" customHeight="false" outlineLevel="0" collapsed="false">
      <c r="A25" s="10" t="s">
        <v>15</v>
      </c>
      <c r="B25" s="16" t="n">
        <v>61.37</v>
      </c>
      <c r="C25" s="10" t="s">
        <v>14</v>
      </c>
      <c r="D25" s="10"/>
    </row>
    <row r="26" customFormat="false" ht="15" hidden="false" customHeight="false" outlineLevel="0" collapsed="false">
      <c r="A26" s="6" t="s">
        <v>22</v>
      </c>
      <c r="B26" s="17" t="n">
        <v>20.01</v>
      </c>
      <c r="C26" s="6" t="s">
        <v>14</v>
      </c>
      <c r="D26" s="6"/>
    </row>
    <row r="27" customFormat="false" ht="15" hidden="false" customHeight="false" outlineLevel="0" collapsed="false">
      <c r="A27" s="10" t="s">
        <v>23</v>
      </c>
      <c r="B27" s="16" t="n">
        <v>24.91</v>
      </c>
      <c r="C27" s="10" t="s">
        <v>14</v>
      </c>
      <c r="D27" s="10"/>
    </row>
    <row r="28" customFormat="false" ht="15" hidden="false" customHeight="false" outlineLevel="0" collapsed="false">
      <c r="A28" s="6" t="s">
        <v>82</v>
      </c>
      <c r="B28" s="17" t="n">
        <v>89.28</v>
      </c>
      <c r="C28" s="6" t="s">
        <v>14</v>
      </c>
      <c r="D28" s="6"/>
    </row>
    <row r="29" customFormat="false" ht="15" hidden="false" customHeight="false" outlineLevel="0" collapsed="false">
      <c r="A29" s="10" t="s">
        <v>33</v>
      </c>
      <c r="B29" s="16" t="n">
        <v>186.03</v>
      </c>
      <c r="C29" s="10" t="s">
        <v>14</v>
      </c>
      <c r="D29" s="10"/>
    </row>
    <row r="30" customFormat="false" ht="15" hidden="false" customHeight="false" outlineLevel="0" collapsed="false">
      <c r="A30" s="6" t="s">
        <v>67</v>
      </c>
      <c r="B30" s="17" t="n">
        <v>13</v>
      </c>
      <c r="C30" s="6" t="s">
        <v>14</v>
      </c>
      <c r="D30" s="6"/>
    </row>
    <row r="31" customFormat="false" ht="15" hidden="false" customHeight="false" outlineLevel="0" collapsed="false">
      <c r="A31" s="10" t="s">
        <v>83</v>
      </c>
      <c r="B31" s="16" t="n">
        <v>148</v>
      </c>
      <c r="C31" s="10" t="s">
        <v>7</v>
      </c>
      <c r="D31" s="10"/>
    </row>
    <row r="32" customFormat="false" ht="15" hidden="false" customHeight="false" outlineLevel="0" collapsed="false">
      <c r="A32" s="6" t="s">
        <v>57</v>
      </c>
      <c r="B32" s="17" t="n">
        <v>78.18</v>
      </c>
      <c r="C32" s="6" t="s">
        <v>14</v>
      </c>
      <c r="D32" s="6"/>
    </row>
    <row r="33" customFormat="false" ht="15" hidden="false" customHeight="false" outlineLevel="0" collapsed="false">
      <c r="A33" s="10" t="s">
        <v>28</v>
      </c>
      <c r="B33" s="16" t="n">
        <v>14.68</v>
      </c>
      <c r="C33" s="10" t="s">
        <v>14</v>
      </c>
      <c r="D33" s="10"/>
    </row>
    <row r="34" customFormat="false" ht="15" hidden="false" customHeight="false" outlineLevel="0" collapsed="false">
      <c r="A34" s="6" t="s">
        <v>84</v>
      </c>
      <c r="B34" s="17" t="n">
        <v>46.02</v>
      </c>
      <c r="C34" s="6" t="s">
        <v>14</v>
      </c>
      <c r="D34" s="6"/>
    </row>
    <row r="35" customFormat="false" ht="15" hidden="false" customHeight="false" outlineLevel="0" collapsed="false">
      <c r="A35" s="10" t="s">
        <v>85</v>
      </c>
      <c r="B35" s="16" t="n">
        <v>0</v>
      </c>
      <c r="C35" s="10" t="s">
        <v>14</v>
      </c>
      <c r="D35" s="10" t="s">
        <v>86</v>
      </c>
    </row>
    <row r="36" customFormat="false" ht="15" hidden="false" customHeight="false" outlineLevel="0" collapsed="false">
      <c r="A36" s="6" t="s">
        <v>87</v>
      </c>
      <c r="B36" s="17" t="n">
        <v>47.03</v>
      </c>
      <c r="C36" s="6" t="s">
        <v>10</v>
      </c>
      <c r="D36" s="6"/>
    </row>
    <row r="37" customFormat="false" ht="15" hidden="false" customHeight="false" outlineLevel="0" collapsed="false">
      <c r="A37" s="10" t="s">
        <v>65</v>
      </c>
      <c r="B37" s="16" t="n">
        <v>140.72</v>
      </c>
      <c r="C37" s="10" t="s">
        <v>14</v>
      </c>
      <c r="D37" s="10"/>
    </row>
    <row r="38" customFormat="false" ht="15" hidden="false" customHeight="false" outlineLevel="0" collapsed="false">
      <c r="A38" s="6" t="s">
        <v>88</v>
      </c>
      <c r="B38" s="17" t="n">
        <v>19.75</v>
      </c>
      <c r="C38" s="6" t="s">
        <v>14</v>
      </c>
      <c r="D38" s="6"/>
    </row>
    <row r="39" customFormat="false" ht="15" hidden="false" customHeight="false" outlineLevel="0" collapsed="false">
      <c r="A39" s="10"/>
      <c r="B39" s="16"/>
      <c r="C39" s="10"/>
      <c r="D39" s="10"/>
    </row>
    <row r="40" customFormat="false" ht="15" hidden="false" customHeight="false" outlineLevel="0" collapsed="false">
      <c r="A40" s="6"/>
      <c r="B40" s="17"/>
      <c r="C40" s="6"/>
      <c r="D40" s="6"/>
    </row>
    <row r="41" customFormat="false" ht="15" hidden="false" customHeight="false" outlineLevel="0" collapsed="false">
      <c r="A41" s="10"/>
      <c r="B41" s="16"/>
      <c r="C41" s="10"/>
      <c r="D41" s="10"/>
    </row>
    <row r="42" customFormat="false" ht="15" hidden="false" customHeight="false" outlineLevel="0" collapsed="false">
      <c r="A42" s="6"/>
      <c r="B42" s="17"/>
      <c r="C42" s="6"/>
      <c r="D42" s="6"/>
    </row>
    <row r="43" customFormat="false" ht="15" hidden="false" customHeight="false" outlineLevel="0" collapsed="false">
      <c r="A43" s="10"/>
      <c r="B43" s="16"/>
      <c r="C43" s="10"/>
      <c r="D43" s="10"/>
    </row>
    <row r="44" customFormat="false" ht="15" hidden="false" customHeight="false" outlineLevel="0" collapsed="false">
      <c r="A44" s="18" t="s">
        <v>38</v>
      </c>
      <c r="B44" s="19" t="n">
        <f aca="false">SUM(B11:B43)</f>
        <v>3206.23</v>
      </c>
      <c r="C44" s="18"/>
      <c r="D44" s="18"/>
    </row>
    <row r="45" customFormat="false" ht="6" hidden="false" customHeight="true" outlineLevel="0" collapsed="false"/>
    <row r="46" customFormat="false" ht="15" hidden="false" customHeight="true" outlineLevel="0" collapsed="false">
      <c r="A46" s="20" t="s">
        <v>39</v>
      </c>
      <c r="B46" s="20"/>
      <c r="C46" s="20"/>
      <c r="D46" s="20"/>
    </row>
    <row r="47" customFormat="false" ht="15" hidden="false" customHeight="false" outlineLevel="0" collapsed="false">
      <c r="A47" s="21" t="s">
        <v>40</v>
      </c>
      <c r="B47" s="22" t="n">
        <f aca="false">B7</f>
        <v>0</v>
      </c>
      <c r="C47" s="23"/>
      <c r="D47" s="23"/>
    </row>
    <row r="48" customFormat="false" ht="15" hidden="false" customHeight="false" outlineLevel="0" collapsed="false">
      <c r="A48" s="24" t="s">
        <v>41</v>
      </c>
      <c r="B48" s="25" t="n">
        <f aca="false">B44</f>
        <v>3206.23</v>
      </c>
      <c r="C48" s="26"/>
      <c r="D48" s="26"/>
    </row>
    <row r="49" customFormat="false" ht="15" hidden="false" customHeight="false" outlineLevel="0" collapsed="false">
      <c r="A49" s="27" t="s">
        <v>42</v>
      </c>
      <c r="B49" s="28" t="n">
        <f aca="false">B47-B48</f>
        <v>-3206.23</v>
      </c>
      <c r="C49" s="29"/>
      <c r="D49" s="29"/>
    </row>
  </sheetData>
  <mergeCells count="7">
    <mergeCell ref="A1:D1"/>
    <mergeCell ref="A3:D3"/>
    <mergeCell ref="A9:D9"/>
    <mergeCell ref="A46:D46"/>
    <mergeCell ref="C47:D47"/>
    <mergeCell ref="C48:D48"/>
    <mergeCell ref="C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1" t="s">
        <v>89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6" t="s">
        <v>7</v>
      </c>
      <c r="D5" s="7" t="s">
        <v>8</v>
      </c>
    </row>
    <row r="6" customFormat="false" ht="15" hidden="false" customHeight="false" outlineLevel="0" collapsed="false">
      <c r="A6" s="8" t="s">
        <v>9</v>
      </c>
      <c r="B6" s="9"/>
      <c r="C6" s="10" t="s">
        <v>10</v>
      </c>
      <c r="D6" s="11" t="s">
        <v>8</v>
      </c>
    </row>
    <row r="7" customFormat="false" ht="15" hidden="false" customHeight="false" outlineLevel="0" collapsed="false">
      <c r="A7" s="12" t="s">
        <v>11</v>
      </c>
      <c r="B7" s="1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fals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false" outlineLevel="0" collapsed="false">
      <c r="A11" s="10" t="s">
        <v>90</v>
      </c>
      <c r="B11" s="16" t="n">
        <v>53.82</v>
      </c>
      <c r="C11" s="10" t="s">
        <v>14</v>
      </c>
      <c r="D11" s="10"/>
    </row>
    <row r="12" customFormat="false" ht="15" hidden="false" customHeight="false" outlineLevel="0" collapsed="false">
      <c r="A12" s="6" t="s">
        <v>91</v>
      </c>
      <c r="B12" s="17" t="n">
        <v>233.65</v>
      </c>
      <c r="C12" s="6" t="s">
        <v>14</v>
      </c>
      <c r="D12" s="6"/>
    </row>
    <row r="13" customFormat="false" ht="15" hidden="false" customHeight="false" outlineLevel="0" collapsed="false">
      <c r="A13" s="10" t="s">
        <v>92</v>
      </c>
      <c r="B13" s="16" t="n">
        <v>78.18</v>
      </c>
      <c r="C13" s="10" t="s">
        <v>7</v>
      </c>
      <c r="D13" s="10"/>
    </row>
    <row r="14" customFormat="false" ht="15" hidden="false" customHeight="false" outlineLevel="0" collapsed="false">
      <c r="A14" s="6" t="s">
        <v>93</v>
      </c>
      <c r="B14" s="17" t="n">
        <v>62.43</v>
      </c>
      <c r="C14" s="6" t="s">
        <v>7</v>
      </c>
      <c r="D14" s="6"/>
    </row>
    <row r="15" customFormat="false" ht="15" hidden="false" customHeight="false" outlineLevel="0" collapsed="false">
      <c r="A15" s="10" t="s">
        <v>94</v>
      </c>
      <c r="B15" s="16" t="n">
        <v>230.25</v>
      </c>
      <c r="C15" s="10" t="s">
        <v>14</v>
      </c>
      <c r="D15" s="10"/>
    </row>
    <row r="16" customFormat="false" ht="15" hidden="false" customHeight="false" outlineLevel="0" collapsed="false">
      <c r="A16" s="6" t="s">
        <v>95</v>
      </c>
      <c r="B16" s="17" t="n">
        <v>27.1</v>
      </c>
      <c r="C16" s="6" t="s">
        <v>7</v>
      </c>
      <c r="D16" s="6"/>
    </row>
    <row r="17" customFormat="false" ht="15" hidden="false" customHeight="false" outlineLevel="0" collapsed="false">
      <c r="A17" s="10" t="s">
        <v>96</v>
      </c>
      <c r="B17" s="16" t="n">
        <v>69.8</v>
      </c>
      <c r="C17" s="10" t="s">
        <v>14</v>
      </c>
      <c r="D17" s="10"/>
    </row>
    <row r="18" customFormat="false" ht="15" hidden="false" customHeight="false" outlineLevel="0" collapsed="false">
      <c r="A18" s="6" t="s">
        <v>18</v>
      </c>
      <c r="B18" s="17" t="n">
        <v>827.5</v>
      </c>
      <c r="C18" s="6" t="s">
        <v>14</v>
      </c>
      <c r="D18" s="6"/>
    </row>
    <row r="19" customFormat="false" ht="15" hidden="false" customHeight="false" outlineLevel="0" collapsed="false">
      <c r="A19" s="10" t="s">
        <v>16</v>
      </c>
      <c r="B19" s="16" t="n">
        <v>76.4</v>
      </c>
      <c r="C19" s="10" t="s">
        <v>14</v>
      </c>
      <c r="D19" s="10"/>
    </row>
    <row r="20" customFormat="false" ht="15" hidden="false" customHeight="false" outlineLevel="0" collapsed="false">
      <c r="A20" s="6" t="s">
        <v>17</v>
      </c>
      <c r="B20" s="17" t="n">
        <v>33.6</v>
      </c>
      <c r="C20" s="6" t="s">
        <v>14</v>
      </c>
      <c r="D20" s="6"/>
    </row>
    <row r="21" customFormat="false" ht="15" hidden="false" customHeight="false" outlineLevel="0" collapsed="false">
      <c r="A21" s="10" t="s">
        <v>21</v>
      </c>
      <c r="B21" s="16" t="n">
        <v>60</v>
      </c>
      <c r="C21" s="10" t="s">
        <v>14</v>
      </c>
      <c r="D21" s="10"/>
    </row>
    <row r="22" customFormat="false" ht="15" hidden="false" customHeight="false" outlineLevel="0" collapsed="false">
      <c r="A22" s="6" t="s">
        <v>97</v>
      </c>
      <c r="B22" s="17" t="n">
        <v>60</v>
      </c>
      <c r="C22" s="6" t="s">
        <v>14</v>
      </c>
      <c r="D22" s="6"/>
    </row>
    <row r="23" customFormat="false" ht="15" hidden="false" customHeight="false" outlineLevel="0" collapsed="false">
      <c r="A23" s="10" t="s">
        <v>78</v>
      </c>
      <c r="B23" s="16" t="n">
        <v>170</v>
      </c>
      <c r="C23" s="10" t="s">
        <v>14</v>
      </c>
      <c r="D23" s="10"/>
    </row>
    <row r="24" customFormat="false" ht="15" hidden="false" customHeight="false" outlineLevel="0" collapsed="false">
      <c r="A24" s="6" t="s">
        <v>31</v>
      </c>
      <c r="B24" s="17" t="n">
        <v>104</v>
      </c>
      <c r="C24" s="6" t="s">
        <v>14</v>
      </c>
      <c r="D24" s="6"/>
    </row>
    <row r="25" customFormat="false" ht="15" hidden="false" customHeight="false" outlineLevel="0" collapsed="false">
      <c r="A25" s="10" t="s">
        <v>82</v>
      </c>
      <c r="B25" s="16" t="n">
        <v>89.28</v>
      </c>
      <c r="C25" s="10" t="s">
        <v>14</v>
      </c>
      <c r="D25" s="10"/>
    </row>
    <row r="26" customFormat="false" ht="15" hidden="false" customHeight="false" outlineLevel="0" collapsed="false">
      <c r="A26" s="6" t="s">
        <v>98</v>
      </c>
      <c r="B26" s="17" t="n">
        <v>20.01</v>
      </c>
      <c r="C26" s="6" t="s">
        <v>14</v>
      </c>
      <c r="D26" s="6"/>
    </row>
    <row r="27" customFormat="false" ht="15" hidden="false" customHeight="false" outlineLevel="0" collapsed="false">
      <c r="A27" s="10" t="s">
        <v>99</v>
      </c>
      <c r="B27" s="16" t="n">
        <v>24.91</v>
      </c>
      <c r="C27" s="10" t="s">
        <v>14</v>
      </c>
      <c r="D27" s="10"/>
    </row>
    <row r="28" customFormat="false" ht="15" hidden="false" customHeight="false" outlineLevel="0" collapsed="false">
      <c r="A28" s="6" t="s">
        <v>100</v>
      </c>
      <c r="B28" s="17" t="n">
        <v>140.72</v>
      </c>
      <c r="C28" s="6" t="s">
        <v>14</v>
      </c>
      <c r="D28" s="6"/>
    </row>
    <row r="29" customFormat="false" ht="15" hidden="false" customHeight="false" outlineLevel="0" collapsed="false">
      <c r="A29" s="10" t="s">
        <v>101</v>
      </c>
      <c r="B29" s="16" t="n">
        <v>14.68</v>
      </c>
      <c r="C29" s="10" t="s">
        <v>14</v>
      </c>
      <c r="D29" s="10"/>
    </row>
    <row r="30" customFormat="false" ht="15" hidden="false" customHeight="false" outlineLevel="0" collapsed="false">
      <c r="A30" s="6" t="s">
        <v>67</v>
      </c>
      <c r="B30" s="17" t="n">
        <v>13</v>
      </c>
      <c r="C30" s="6" t="s">
        <v>14</v>
      </c>
      <c r="D30" s="6"/>
    </row>
    <row r="31" customFormat="false" ht="15" hidden="false" customHeight="false" outlineLevel="0" collapsed="false">
      <c r="A31" s="10" t="s">
        <v>102</v>
      </c>
      <c r="B31" s="16" t="n">
        <v>80.2</v>
      </c>
      <c r="C31" s="10" t="s">
        <v>7</v>
      </c>
      <c r="D31" s="10"/>
    </row>
    <row r="32" customFormat="false" ht="15" hidden="false" customHeight="false" outlineLevel="0" collapsed="false">
      <c r="A32" s="6" t="s">
        <v>103</v>
      </c>
      <c r="B32" s="17" t="n">
        <v>0</v>
      </c>
      <c r="C32" s="6" t="s">
        <v>14</v>
      </c>
      <c r="D32" s="6" t="s">
        <v>86</v>
      </c>
    </row>
    <row r="33" customFormat="false" ht="15" hidden="false" customHeight="false" outlineLevel="0" collapsed="false">
      <c r="A33" s="10" t="s">
        <v>15</v>
      </c>
      <c r="B33" s="16" t="n">
        <v>84</v>
      </c>
      <c r="C33" s="10" t="s">
        <v>14</v>
      </c>
      <c r="D33" s="10"/>
    </row>
    <row r="34" customFormat="false" ht="15" hidden="false" customHeight="false" outlineLevel="0" collapsed="false">
      <c r="A34" s="6" t="s">
        <v>33</v>
      </c>
      <c r="B34" s="17" t="n">
        <v>113.4</v>
      </c>
      <c r="C34" s="6" t="s">
        <v>14</v>
      </c>
      <c r="D34" s="6"/>
    </row>
    <row r="35" customFormat="false" ht="15" hidden="false" customHeight="false" outlineLevel="0" collapsed="false">
      <c r="A35" s="10" t="s">
        <v>104</v>
      </c>
      <c r="B35" s="16" t="n">
        <v>212.61</v>
      </c>
      <c r="C35" s="10" t="s">
        <v>7</v>
      </c>
      <c r="D35" s="10"/>
    </row>
    <row r="36" customFormat="false" ht="15" hidden="false" customHeight="false" outlineLevel="0" collapsed="false">
      <c r="A36" s="6" t="s">
        <v>105</v>
      </c>
      <c r="B36" s="17" t="n">
        <v>90.27</v>
      </c>
      <c r="C36" s="6" t="s">
        <v>10</v>
      </c>
      <c r="D36" s="6"/>
    </row>
    <row r="37" customFormat="false" ht="15" hidden="false" customHeight="false" outlineLevel="0" collapsed="false">
      <c r="A37" s="10" t="s">
        <v>106</v>
      </c>
      <c r="B37" s="16" t="n">
        <v>175.61</v>
      </c>
      <c r="C37" s="10" t="s">
        <v>7</v>
      </c>
      <c r="D37" s="10"/>
    </row>
    <row r="38" customFormat="false" ht="15" hidden="false" customHeight="false" outlineLevel="0" collapsed="false">
      <c r="A38" s="6" t="s">
        <v>107</v>
      </c>
      <c r="B38" s="17" t="n">
        <v>24</v>
      </c>
      <c r="C38" s="6" t="s">
        <v>14</v>
      </c>
      <c r="D38" s="6"/>
    </row>
    <row r="39" customFormat="false" ht="15" hidden="false" customHeight="false" outlineLevel="0" collapsed="false">
      <c r="A39" s="10" t="s">
        <v>108</v>
      </c>
      <c r="B39" s="16" t="n">
        <v>17.2</v>
      </c>
      <c r="C39" s="10" t="s">
        <v>14</v>
      </c>
      <c r="D39" s="10"/>
    </row>
    <row r="40" customFormat="false" ht="15" hidden="false" customHeight="false" outlineLevel="0" collapsed="false">
      <c r="A40" s="6"/>
      <c r="B40" s="17"/>
      <c r="C40" s="6"/>
      <c r="D40" s="6"/>
    </row>
    <row r="41" customFormat="false" ht="15" hidden="false" customHeight="false" outlineLevel="0" collapsed="false">
      <c r="A41" s="10"/>
      <c r="B41" s="16"/>
      <c r="C41" s="10"/>
      <c r="D41" s="10"/>
    </row>
    <row r="42" customFormat="false" ht="15" hidden="false" customHeight="false" outlineLevel="0" collapsed="false">
      <c r="A42" s="6"/>
      <c r="B42" s="17"/>
      <c r="C42" s="6"/>
      <c r="D42" s="6"/>
    </row>
    <row r="43" customFormat="false" ht="15" hidden="false" customHeight="false" outlineLevel="0" collapsed="false">
      <c r="A43" s="10"/>
      <c r="B43" s="16"/>
      <c r="C43" s="10"/>
      <c r="D43" s="10"/>
    </row>
    <row r="44" customFormat="false" ht="15" hidden="false" customHeight="false" outlineLevel="0" collapsed="false">
      <c r="A44" s="6"/>
      <c r="B44" s="17"/>
      <c r="C44" s="6"/>
      <c r="D44" s="6"/>
    </row>
    <row r="45" customFormat="false" ht="15" hidden="false" customHeight="false" outlineLevel="0" collapsed="false">
      <c r="A45" s="18" t="s">
        <v>38</v>
      </c>
      <c r="B45" s="19" t="n">
        <f aca="false">SUM(B11:B44)</f>
        <v>3186.62</v>
      </c>
      <c r="C45" s="18"/>
      <c r="D45" s="18"/>
    </row>
    <row r="46" customFormat="false" ht="6" hidden="false" customHeight="true" outlineLevel="0" collapsed="false"/>
    <row r="47" customFormat="false" ht="15" hidden="false" customHeight="true" outlineLevel="0" collapsed="false">
      <c r="A47" s="20" t="s">
        <v>39</v>
      </c>
      <c r="B47" s="20"/>
      <c r="C47" s="20"/>
      <c r="D47" s="20"/>
    </row>
    <row r="48" customFormat="false" ht="15" hidden="false" customHeight="false" outlineLevel="0" collapsed="false">
      <c r="A48" s="21" t="s">
        <v>40</v>
      </c>
      <c r="B48" s="22" t="n">
        <f aca="false">B7</f>
        <v>0</v>
      </c>
      <c r="C48" s="23"/>
      <c r="D48" s="23"/>
    </row>
    <row r="49" customFormat="false" ht="15" hidden="false" customHeight="false" outlineLevel="0" collapsed="false">
      <c r="A49" s="24" t="s">
        <v>41</v>
      </c>
      <c r="B49" s="25" t="n">
        <f aca="false">B45</f>
        <v>3186.62</v>
      </c>
      <c r="C49" s="26"/>
      <c r="D49" s="26"/>
    </row>
    <row r="50" customFormat="false" ht="15" hidden="false" customHeight="false" outlineLevel="0" collapsed="false">
      <c r="A50" s="27" t="s">
        <v>42</v>
      </c>
      <c r="B50" s="28" t="n">
        <f aca="false">B48-B49</f>
        <v>-3186.62</v>
      </c>
      <c r="C50" s="29"/>
      <c r="D50" s="29"/>
    </row>
  </sheetData>
  <mergeCells count="7">
    <mergeCell ref="A1:D1"/>
    <mergeCell ref="A3:D3"/>
    <mergeCell ref="A9:D9"/>
    <mergeCell ref="A47:D47"/>
    <mergeCell ref="C48:D48"/>
    <mergeCell ref="C49:D49"/>
    <mergeCell ref="C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1" t="s">
        <v>109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6" t="s">
        <v>7</v>
      </c>
      <c r="D5" s="7" t="s">
        <v>8</v>
      </c>
    </row>
    <row r="6" customFormat="false" ht="15" hidden="false" customHeight="false" outlineLevel="0" collapsed="false">
      <c r="A6" s="8" t="s">
        <v>9</v>
      </c>
      <c r="B6" s="9"/>
      <c r="C6" s="10" t="s">
        <v>10</v>
      </c>
      <c r="D6" s="11" t="s">
        <v>8</v>
      </c>
    </row>
    <row r="7" customFormat="false" ht="15" hidden="false" customHeight="false" outlineLevel="0" collapsed="false">
      <c r="A7" s="12" t="s">
        <v>11</v>
      </c>
      <c r="B7" s="1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fals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false" outlineLevel="0" collapsed="false">
      <c r="A11" s="10" t="s">
        <v>110</v>
      </c>
      <c r="B11" s="16" t="n">
        <v>233.6</v>
      </c>
      <c r="C11" s="10" t="s">
        <v>14</v>
      </c>
      <c r="D11" s="10"/>
    </row>
    <row r="12" customFormat="false" ht="15" hidden="false" customHeight="false" outlineLevel="0" collapsed="false">
      <c r="A12" s="6" t="s">
        <v>111</v>
      </c>
      <c r="B12" s="17" t="n">
        <v>78.18</v>
      </c>
      <c r="C12" s="6" t="s">
        <v>7</v>
      </c>
      <c r="D12" s="6"/>
    </row>
    <row r="13" customFormat="false" ht="15" hidden="false" customHeight="false" outlineLevel="0" collapsed="false">
      <c r="A13" s="10" t="s">
        <v>112</v>
      </c>
      <c r="B13" s="16" t="n">
        <v>62.43</v>
      </c>
      <c r="C13" s="10" t="s">
        <v>7</v>
      </c>
      <c r="D13" s="10"/>
    </row>
    <row r="14" customFormat="false" ht="15" hidden="false" customHeight="false" outlineLevel="0" collapsed="false">
      <c r="A14" s="6" t="s">
        <v>113</v>
      </c>
      <c r="B14" s="17" t="n">
        <v>230.25</v>
      </c>
      <c r="C14" s="6" t="s">
        <v>14</v>
      </c>
      <c r="D14" s="6"/>
    </row>
    <row r="15" customFormat="false" ht="15" hidden="false" customHeight="false" outlineLevel="0" collapsed="false">
      <c r="A15" s="10" t="s">
        <v>114</v>
      </c>
      <c r="B15" s="16" t="n">
        <v>111.98</v>
      </c>
      <c r="C15" s="10" t="s">
        <v>7</v>
      </c>
      <c r="D15" s="10"/>
    </row>
    <row r="16" customFormat="false" ht="15" hidden="false" customHeight="false" outlineLevel="0" collapsed="false">
      <c r="A16" s="6" t="s">
        <v>115</v>
      </c>
      <c r="B16" s="17" t="n">
        <v>41.79</v>
      </c>
      <c r="C16" s="6" t="s">
        <v>14</v>
      </c>
      <c r="D16" s="6"/>
    </row>
    <row r="17" customFormat="false" ht="15" hidden="false" customHeight="false" outlineLevel="0" collapsed="false">
      <c r="A17" s="10" t="s">
        <v>18</v>
      </c>
      <c r="B17" s="16" t="n">
        <v>827.5</v>
      </c>
      <c r="C17" s="10" t="s">
        <v>14</v>
      </c>
      <c r="D17" s="10"/>
    </row>
    <row r="18" customFormat="false" ht="15" hidden="false" customHeight="false" outlineLevel="0" collapsed="false">
      <c r="A18" s="6" t="s">
        <v>16</v>
      </c>
      <c r="B18" s="17" t="n">
        <v>76.4</v>
      </c>
      <c r="C18" s="6" t="s">
        <v>14</v>
      </c>
      <c r="D18" s="6"/>
    </row>
    <row r="19" customFormat="false" ht="15" hidden="false" customHeight="false" outlineLevel="0" collapsed="false">
      <c r="A19" s="10" t="s">
        <v>17</v>
      </c>
      <c r="B19" s="16" t="n">
        <v>33.6</v>
      </c>
      <c r="C19" s="10" t="s">
        <v>14</v>
      </c>
      <c r="D19" s="10"/>
    </row>
    <row r="20" customFormat="false" ht="15" hidden="false" customHeight="false" outlineLevel="0" collapsed="false">
      <c r="A20" s="6" t="s">
        <v>116</v>
      </c>
      <c r="B20" s="17" t="n">
        <v>60</v>
      </c>
      <c r="C20" s="6" t="s">
        <v>7</v>
      </c>
      <c r="D20" s="6"/>
    </row>
    <row r="21" customFormat="false" ht="15" hidden="false" customHeight="false" outlineLevel="0" collapsed="false">
      <c r="A21" s="10" t="s">
        <v>117</v>
      </c>
      <c r="B21" s="16" t="n">
        <v>60</v>
      </c>
      <c r="C21" s="10" t="s">
        <v>7</v>
      </c>
      <c r="D21" s="10"/>
    </row>
    <row r="22" customFormat="false" ht="15" hidden="false" customHeight="false" outlineLevel="0" collapsed="false">
      <c r="A22" s="6" t="s">
        <v>78</v>
      </c>
      <c r="B22" s="17" t="n">
        <v>170</v>
      </c>
      <c r="C22" s="6" t="s">
        <v>14</v>
      </c>
      <c r="D22" s="6"/>
    </row>
    <row r="23" customFormat="false" ht="15" hidden="false" customHeight="false" outlineLevel="0" collapsed="false">
      <c r="A23" s="10" t="s">
        <v>118</v>
      </c>
      <c r="B23" s="16" t="n">
        <v>50.6</v>
      </c>
      <c r="C23" s="10" t="s">
        <v>14</v>
      </c>
      <c r="D23" s="10"/>
    </row>
    <row r="24" customFormat="false" ht="15" hidden="false" customHeight="false" outlineLevel="0" collapsed="false">
      <c r="A24" s="6" t="s">
        <v>31</v>
      </c>
      <c r="B24" s="17" t="n">
        <v>99</v>
      </c>
      <c r="C24" s="6" t="s">
        <v>14</v>
      </c>
      <c r="D24" s="6"/>
    </row>
    <row r="25" customFormat="false" ht="15" hidden="false" customHeight="false" outlineLevel="0" collapsed="false">
      <c r="A25" s="10" t="s">
        <v>82</v>
      </c>
      <c r="B25" s="16" t="n">
        <v>89.28</v>
      </c>
      <c r="C25" s="10" t="s">
        <v>14</v>
      </c>
      <c r="D25" s="10"/>
    </row>
    <row r="26" customFormat="false" ht="15" hidden="false" customHeight="false" outlineLevel="0" collapsed="false">
      <c r="A26" s="6" t="s">
        <v>98</v>
      </c>
      <c r="B26" s="17" t="n">
        <v>20.1</v>
      </c>
      <c r="C26" s="6" t="s">
        <v>14</v>
      </c>
      <c r="D26" s="6"/>
    </row>
    <row r="27" customFormat="false" ht="15" hidden="false" customHeight="false" outlineLevel="0" collapsed="false">
      <c r="A27" s="10" t="s">
        <v>99</v>
      </c>
      <c r="B27" s="16" t="n">
        <v>24.91</v>
      </c>
      <c r="C27" s="10" t="s">
        <v>14</v>
      </c>
      <c r="D27" s="10"/>
    </row>
    <row r="28" customFormat="false" ht="15" hidden="false" customHeight="false" outlineLevel="0" collapsed="false">
      <c r="A28" s="6" t="s">
        <v>119</v>
      </c>
      <c r="B28" s="17" t="n">
        <v>140.72</v>
      </c>
      <c r="C28" s="6" t="s">
        <v>14</v>
      </c>
      <c r="D28" s="6"/>
    </row>
    <row r="29" customFormat="false" ht="15" hidden="false" customHeight="false" outlineLevel="0" collapsed="false">
      <c r="A29" s="10" t="s">
        <v>120</v>
      </c>
      <c r="B29" s="16" t="n">
        <v>14.93</v>
      </c>
      <c r="C29" s="10" t="s">
        <v>14</v>
      </c>
      <c r="D29" s="10"/>
    </row>
    <row r="30" customFormat="false" ht="15" hidden="false" customHeight="false" outlineLevel="0" collapsed="false">
      <c r="A30" s="6" t="s">
        <v>67</v>
      </c>
      <c r="B30" s="17" t="n">
        <v>13</v>
      </c>
      <c r="C30" s="6" t="s">
        <v>14</v>
      </c>
      <c r="D30" s="6"/>
    </row>
    <row r="31" customFormat="false" ht="15" hidden="false" customHeight="false" outlineLevel="0" collapsed="false">
      <c r="A31" s="10" t="s">
        <v>121</v>
      </c>
      <c r="B31" s="16" t="n">
        <v>243.5</v>
      </c>
      <c r="C31" s="10" t="s">
        <v>14</v>
      </c>
      <c r="D31" s="10"/>
    </row>
    <row r="32" customFormat="false" ht="15" hidden="false" customHeight="false" outlineLevel="0" collapsed="false">
      <c r="A32" s="6" t="s">
        <v>15</v>
      </c>
      <c r="B32" s="17" t="n">
        <v>83.52</v>
      </c>
      <c r="C32" s="6" t="s">
        <v>14</v>
      </c>
      <c r="D32" s="6"/>
    </row>
    <row r="33" customFormat="false" ht="15" hidden="false" customHeight="false" outlineLevel="0" collapsed="false">
      <c r="A33" s="10" t="s">
        <v>33</v>
      </c>
      <c r="B33" s="16" t="n">
        <v>79.12</v>
      </c>
      <c r="C33" s="10" t="s">
        <v>14</v>
      </c>
      <c r="D33" s="10"/>
    </row>
    <row r="34" customFormat="false" ht="15" hidden="false" customHeight="false" outlineLevel="0" collapsed="false">
      <c r="A34" s="6" t="s">
        <v>122</v>
      </c>
      <c r="B34" s="17" t="n">
        <v>68.66</v>
      </c>
      <c r="C34" s="6" t="s">
        <v>14</v>
      </c>
      <c r="D34" s="6"/>
    </row>
    <row r="35" customFormat="false" ht="15" hidden="false" customHeight="false" outlineLevel="0" collapsed="false">
      <c r="A35" s="10" t="s">
        <v>123</v>
      </c>
      <c r="B35" s="16" t="n">
        <v>217.23</v>
      </c>
      <c r="C35" s="10" t="s">
        <v>7</v>
      </c>
      <c r="D35" s="10"/>
    </row>
    <row r="36" customFormat="false" ht="15" hidden="false" customHeight="false" outlineLevel="0" collapsed="false">
      <c r="A36" s="6" t="s">
        <v>105</v>
      </c>
      <c r="B36" s="17" t="n">
        <v>34.97</v>
      </c>
      <c r="C36" s="6" t="s">
        <v>10</v>
      </c>
      <c r="D36" s="6"/>
    </row>
    <row r="37" customFormat="false" ht="15" hidden="false" customHeight="false" outlineLevel="0" collapsed="false">
      <c r="A37" s="10" t="s">
        <v>124</v>
      </c>
      <c r="B37" s="16" t="n">
        <v>17.83</v>
      </c>
      <c r="C37" s="10" t="s">
        <v>10</v>
      </c>
      <c r="D37" s="10"/>
    </row>
    <row r="38" customFormat="false" ht="15" hidden="false" customHeight="false" outlineLevel="0" collapsed="false">
      <c r="A38" s="6" t="s">
        <v>125</v>
      </c>
      <c r="B38" s="17" t="n">
        <v>13.89</v>
      </c>
      <c r="C38" s="6" t="s">
        <v>14</v>
      </c>
      <c r="D38" s="6"/>
    </row>
    <row r="39" customFormat="false" ht="15" hidden="false" customHeight="false" outlineLevel="0" collapsed="false">
      <c r="A39" s="10"/>
      <c r="B39" s="16"/>
      <c r="C39" s="10"/>
      <c r="D39" s="10"/>
    </row>
    <row r="40" customFormat="false" ht="15" hidden="false" customHeight="false" outlineLevel="0" collapsed="false">
      <c r="A40" s="6"/>
      <c r="B40" s="17"/>
      <c r="C40" s="6"/>
      <c r="D40" s="6"/>
    </row>
    <row r="41" customFormat="false" ht="15" hidden="false" customHeight="false" outlineLevel="0" collapsed="false">
      <c r="A41" s="10"/>
      <c r="B41" s="16"/>
      <c r="C41" s="10"/>
      <c r="D41" s="10"/>
    </row>
    <row r="42" customFormat="false" ht="15" hidden="false" customHeight="false" outlineLevel="0" collapsed="false">
      <c r="A42" s="6"/>
      <c r="B42" s="17"/>
      <c r="C42" s="6"/>
      <c r="D42" s="6"/>
    </row>
    <row r="43" customFormat="false" ht="15" hidden="false" customHeight="false" outlineLevel="0" collapsed="false">
      <c r="A43" s="10"/>
      <c r="B43" s="16"/>
      <c r="C43" s="10"/>
      <c r="D43" s="10"/>
    </row>
    <row r="44" customFormat="false" ht="15" hidden="false" customHeight="false" outlineLevel="0" collapsed="false">
      <c r="A44" s="18" t="s">
        <v>38</v>
      </c>
      <c r="B44" s="19" t="n">
        <f aca="false">SUM(B11:B43)</f>
        <v>3196.99</v>
      </c>
      <c r="C44" s="18"/>
      <c r="D44" s="18"/>
    </row>
    <row r="45" customFormat="false" ht="6" hidden="false" customHeight="true" outlineLevel="0" collapsed="false"/>
    <row r="46" customFormat="false" ht="15" hidden="false" customHeight="true" outlineLevel="0" collapsed="false">
      <c r="A46" s="20" t="s">
        <v>39</v>
      </c>
      <c r="B46" s="20"/>
      <c r="C46" s="20"/>
      <c r="D46" s="20"/>
    </row>
    <row r="47" customFormat="false" ht="15" hidden="false" customHeight="false" outlineLevel="0" collapsed="false">
      <c r="A47" s="21" t="s">
        <v>40</v>
      </c>
      <c r="B47" s="22" t="n">
        <f aca="false">B7</f>
        <v>0</v>
      </c>
      <c r="C47" s="23"/>
      <c r="D47" s="23"/>
    </row>
    <row r="48" customFormat="false" ht="15" hidden="false" customHeight="false" outlineLevel="0" collapsed="false">
      <c r="A48" s="24" t="s">
        <v>41</v>
      </c>
      <c r="B48" s="25" t="n">
        <f aca="false">B44</f>
        <v>3196.99</v>
      </c>
      <c r="C48" s="26"/>
      <c r="D48" s="26"/>
    </row>
    <row r="49" customFormat="false" ht="15" hidden="false" customHeight="false" outlineLevel="0" collapsed="false">
      <c r="A49" s="27" t="s">
        <v>42</v>
      </c>
      <c r="B49" s="28" t="n">
        <f aca="false">B47-B48</f>
        <v>-3196.99</v>
      </c>
      <c r="C49" s="29"/>
      <c r="D49" s="29"/>
    </row>
  </sheetData>
  <mergeCells count="7">
    <mergeCell ref="A1:D1"/>
    <mergeCell ref="A3:D3"/>
    <mergeCell ref="A9:D9"/>
    <mergeCell ref="A46:D46"/>
    <mergeCell ref="C47:D47"/>
    <mergeCell ref="C48:D48"/>
    <mergeCell ref="C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1" t="s">
        <v>126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6" t="s">
        <v>7</v>
      </c>
      <c r="D5" s="7" t="s">
        <v>8</v>
      </c>
    </row>
    <row r="6" customFormat="false" ht="15" hidden="false" customHeight="false" outlineLevel="0" collapsed="false">
      <c r="A6" s="8" t="s">
        <v>9</v>
      </c>
      <c r="B6" s="9"/>
      <c r="C6" s="10" t="s">
        <v>10</v>
      </c>
      <c r="D6" s="11" t="s">
        <v>8</v>
      </c>
    </row>
    <row r="7" customFormat="false" ht="15" hidden="false" customHeight="false" outlineLevel="0" collapsed="false">
      <c r="A7" s="12" t="s">
        <v>11</v>
      </c>
      <c r="B7" s="1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fals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false" outlineLevel="0" collapsed="false">
      <c r="A11" s="10" t="s">
        <v>127</v>
      </c>
      <c r="B11" s="16" t="n">
        <v>233.6</v>
      </c>
      <c r="C11" s="10" t="s">
        <v>14</v>
      </c>
      <c r="D11" s="10"/>
    </row>
    <row r="12" customFormat="false" ht="15" hidden="false" customHeight="false" outlineLevel="0" collapsed="false">
      <c r="A12" s="6" t="s">
        <v>128</v>
      </c>
      <c r="B12" s="17" t="n">
        <v>78.18</v>
      </c>
      <c r="C12" s="6" t="s">
        <v>7</v>
      </c>
      <c r="D12" s="6"/>
    </row>
    <row r="13" customFormat="false" ht="15" hidden="false" customHeight="false" outlineLevel="0" collapsed="false">
      <c r="A13" s="10" t="s">
        <v>129</v>
      </c>
      <c r="B13" s="16" t="n">
        <v>62.43</v>
      </c>
      <c r="C13" s="10" t="s">
        <v>7</v>
      </c>
      <c r="D13" s="10"/>
    </row>
    <row r="14" customFormat="false" ht="15" hidden="false" customHeight="false" outlineLevel="0" collapsed="false">
      <c r="A14" s="6" t="s">
        <v>130</v>
      </c>
      <c r="B14" s="17" t="n">
        <v>230.25</v>
      </c>
      <c r="C14" s="6" t="s">
        <v>14</v>
      </c>
      <c r="D14" s="6"/>
    </row>
    <row r="15" customFormat="false" ht="15" hidden="false" customHeight="false" outlineLevel="0" collapsed="false">
      <c r="A15" s="10" t="s">
        <v>131</v>
      </c>
      <c r="B15" s="16" t="n">
        <v>111.98</v>
      </c>
      <c r="C15" s="10" t="s">
        <v>7</v>
      </c>
      <c r="D15" s="10"/>
    </row>
    <row r="16" customFormat="false" ht="15" hidden="false" customHeight="false" outlineLevel="0" collapsed="false">
      <c r="A16" s="6" t="s">
        <v>132</v>
      </c>
      <c r="B16" s="17" t="n">
        <v>41.79</v>
      </c>
      <c r="C16" s="6" t="s">
        <v>14</v>
      </c>
      <c r="D16" s="6"/>
    </row>
    <row r="17" customFormat="false" ht="15" hidden="false" customHeight="false" outlineLevel="0" collapsed="false">
      <c r="A17" s="10" t="s">
        <v>18</v>
      </c>
      <c r="B17" s="16" t="n">
        <v>827.5</v>
      </c>
      <c r="C17" s="10" t="s">
        <v>14</v>
      </c>
      <c r="D17" s="10"/>
    </row>
    <row r="18" customFormat="false" ht="15" hidden="false" customHeight="false" outlineLevel="0" collapsed="false">
      <c r="A18" s="6" t="s">
        <v>16</v>
      </c>
      <c r="B18" s="17" t="n">
        <v>76.4</v>
      </c>
      <c r="C18" s="6" t="s">
        <v>14</v>
      </c>
      <c r="D18" s="6"/>
    </row>
    <row r="19" customFormat="false" ht="15" hidden="false" customHeight="false" outlineLevel="0" collapsed="false">
      <c r="A19" s="10" t="s">
        <v>17</v>
      </c>
      <c r="B19" s="16" t="n">
        <v>33.6</v>
      </c>
      <c r="C19" s="10" t="s">
        <v>14</v>
      </c>
      <c r="D19" s="10"/>
    </row>
    <row r="20" customFormat="false" ht="15" hidden="false" customHeight="false" outlineLevel="0" collapsed="false">
      <c r="A20" s="6" t="s">
        <v>21</v>
      </c>
      <c r="B20" s="17" t="n">
        <v>60</v>
      </c>
      <c r="C20" s="6" t="s">
        <v>14</v>
      </c>
      <c r="D20" s="6"/>
    </row>
    <row r="21" customFormat="false" ht="15" hidden="false" customHeight="false" outlineLevel="0" collapsed="false">
      <c r="A21" s="10" t="s">
        <v>76</v>
      </c>
      <c r="B21" s="16" t="n">
        <v>60</v>
      </c>
      <c r="C21" s="10" t="s">
        <v>14</v>
      </c>
      <c r="D21" s="10"/>
    </row>
    <row r="22" customFormat="false" ht="15" hidden="false" customHeight="false" outlineLevel="0" collapsed="false">
      <c r="A22" s="6" t="s">
        <v>50</v>
      </c>
      <c r="B22" s="17" t="n">
        <v>170</v>
      </c>
      <c r="C22" s="6" t="s">
        <v>14</v>
      </c>
      <c r="D22" s="6"/>
    </row>
    <row r="23" customFormat="false" ht="15" hidden="false" customHeight="false" outlineLevel="0" collapsed="false">
      <c r="A23" s="10" t="s">
        <v>58</v>
      </c>
      <c r="B23" s="16" t="n">
        <v>89.28</v>
      </c>
      <c r="C23" s="10" t="s">
        <v>14</v>
      </c>
      <c r="D23" s="10"/>
    </row>
    <row r="24" customFormat="false" ht="15" hidden="false" customHeight="false" outlineLevel="0" collapsed="false">
      <c r="A24" s="6" t="s">
        <v>98</v>
      </c>
      <c r="B24" s="17" t="n">
        <v>20.1</v>
      </c>
      <c r="C24" s="6" t="s">
        <v>14</v>
      </c>
      <c r="D24" s="6"/>
    </row>
    <row r="25" customFormat="false" ht="15" hidden="false" customHeight="false" outlineLevel="0" collapsed="false">
      <c r="A25" s="10" t="s">
        <v>99</v>
      </c>
      <c r="B25" s="16" t="n">
        <v>24.91</v>
      </c>
      <c r="C25" s="10" t="s">
        <v>14</v>
      </c>
      <c r="D25" s="10"/>
    </row>
    <row r="26" customFormat="false" ht="15" hidden="false" customHeight="false" outlineLevel="0" collapsed="false">
      <c r="A26" s="6" t="s">
        <v>133</v>
      </c>
      <c r="B26" s="17" t="n">
        <v>140.72</v>
      </c>
      <c r="C26" s="6" t="s">
        <v>14</v>
      </c>
      <c r="D26" s="6"/>
    </row>
    <row r="27" customFormat="false" ht="15" hidden="false" customHeight="false" outlineLevel="0" collapsed="false">
      <c r="A27" s="10" t="s">
        <v>134</v>
      </c>
      <c r="B27" s="16" t="n">
        <v>14.93</v>
      </c>
      <c r="C27" s="10" t="s">
        <v>14</v>
      </c>
      <c r="D27" s="10"/>
    </row>
    <row r="28" customFormat="false" ht="15" hidden="false" customHeight="false" outlineLevel="0" collapsed="false">
      <c r="A28" s="6" t="s">
        <v>67</v>
      </c>
      <c r="B28" s="17" t="n">
        <v>13</v>
      </c>
      <c r="C28" s="6" t="s">
        <v>14</v>
      </c>
      <c r="D28" s="6"/>
    </row>
    <row r="29" customFormat="false" ht="15" hidden="false" customHeight="false" outlineLevel="0" collapsed="false">
      <c r="A29" s="10" t="s">
        <v>121</v>
      </c>
      <c r="B29" s="16" t="n">
        <v>243.5</v>
      </c>
      <c r="C29" s="10" t="s">
        <v>14</v>
      </c>
      <c r="D29" s="10"/>
    </row>
    <row r="30" customFormat="false" ht="15" hidden="false" customHeight="false" outlineLevel="0" collapsed="false">
      <c r="A30" s="6" t="s">
        <v>135</v>
      </c>
      <c r="B30" s="17" t="n">
        <v>17.83</v>
      </c>
      <c r="C30" s="6" t="s">
        <v>14</v>
      </c>
      <c r="D30" s="6"/>
    </row>
    <row r="31" customFormat="false" ht="15" hidden="false" customHeight="false" outlineLevel="0" collapsed="false">
      <c r="A31" s="10" t="s">
        <v>122</v>
      </c>
      <c r="B31" s="16" t="n">
        <v>45.08</v>
      </c>
      <c r="C31" s="10" t="s">
        <v>14</v>
      </c>
      <c r="D31" s="10"/>
    </row>
    <row r="32" customFormat="false" ht="15" hidden="false" customHeight="false" outlineLevel="0" collapsed="false">
      <c r="A32" s="6" t="s">
        <v>105</v>
      </c>
      <c r="B32" s="17" t="n">
        <v>57</v>
      </c>
      <c r="C32" s="6" t="s">
        <v>10</v>
      </c>
      <c r="D32" s="6"/>
    </row>
    <row r="33" customFormat="false" ht="15" hidden="false" customHeight="false" outlineLevel="0" collapsed="false">
      <c r="A33" s="10" t="s">
        <v>123</v>
      </c>
      <c r="B33" s="16" t="n">
        <v>353.3</v>
      </c>
      <c r="C33" s="10" t="s">
        <v>7</v>
      </c>
      <c r="D33" s="10"/>
    </row>
    <row r="34" customFormat="false" ht="15" hidden="false" customHeight="false" outlineLevel="0" collapsed="false">
      <c r="A34" s="6" t="s">
        <v>136</v>
      </c>
      <c r="B34" s="17" t="n">
        <v>100.19</v>
      </c>
      <c r="C34" s="6" t="s">
        <v>10</v>
      </c>
      <c r="D34" s="6"/>
    </row>
    <row r="35" customFormat="false" ht="15" hidden="false" customHeight="false" outlineLevel="0" collapsed="false">
      <c r="A35" s="10" t="s">
        <v>137</v>
      </c>
      <c r="B35" s="16" t="n">
        <v>22.15</v>
      </c>
      <c r="C35" s="10" t="s">
        <v>14</v>
      </c>
      <c r="D35" s="10"/>
    </row>
    <row r="36" customFormat="false" ht="15" hidden="false" customHeight="false" outlineLevel="0" collapsed="false">
      <c r="A36" s="6" t="s">
        <v>61</v>
      </c>
      <c r="B36" s="17" t="n">
        <v>50</v>
      </c>
      <c r="C36" s="6" t="s">
        <v>14</v>
      </c>
      <c r="D36" s="6"/>
    </row>
    <row r="37" customFormat="false" ht="15" hidden="false" customHeight="false" outlineLevel="0" collapsed="false">
      <c r="A37" s="10" t="s">
        <v>31</v>
      </c>
      <c r="B37" s="16" t="n">
        <v>89</v>
      </c>
      <c r="C37" s="10" t="s">
        <v>14</v>
      </c>
      <c r="D37" s="10"/>
    </row>
    <row r="38" customFormat="false" ht="15" hidden="false" customHeight="false" outlineLevel="0" collapsed="false">
      <c r="A38" s="6" t="s">
        <v>33</v>
      </c>
      <c r="B38" s="17" t="n">
        <v>63.21</v>
      </c>
      <c r="C38" s="6" t="s">
        <v>14</v>
      </c>
      <c r="D38" s="6"/>
    </row>
    <row r="39" customFormat="false" ht="15" hidden="false" customHeight="false" outlineLevel="0" collapsed="false">
      <c r="A39" s="10" t="s">
        <v>138</v>
      </c>
      <c r="B39" s="16" t="n">
        <v>30</v>
      </c>
      <c r="C39" s="10" t="s">
        <v>14</v>
      </c>
      <c r="D39" s="10"/>
    </row>
    <row r="40" customFormat="false" ht="15" hidden="false" customHeight="false" outlineLevel="0" collapsed="false">
      <c r="A40" s="6" t="s">
        <v>139</v>
      </c>
      <c r="B40" s="17" t="n">
        <v>31</v>
      </c>
      <c r="C40" s="6" t="s">
        <v>14</v>
      </c>
      <c r="D40" s="6"/>
    </row>
    <row r="41" customFormat="false" ht="15" hidden="false" customHeight="false" outlineLevel="0" collapsed="false">
      <c r="A41" s="10" t="s">
        <v>140</v>
      </c>
      <c r="B41" s="16" t="n">
        <v>62.7</v>
      </c>
      <c r="C41" s="10" t="s">
        <v>14</v>
      </c>
      <c r="D41" s="10"/>
    </row>
    <row r="42" customFormat="false" ht="15" hidden="false" customHeight="false" outlineLevel="0" collapsed="false">
      <c r="A42" s="6"/>
      <c r="B42" s="17"/>
      <c r="C42" s="6"/>
      <c r="D42" s="6"/>
    </row>
    <row r="43" customFormat="false" ht="15" hidden="false" customHeight="false" outlineLevel="0" collapsed="false">
      <c r="A43" s="10"/>
      <c r="B43" s="16"/>
      <c r="C43" s="10"/>
      <c r="D43" s="10"/>
    </row>
    <row r="44" customFormat="false" ht="15" hidden="false" customHeight="false" outlineLevel="0" collapsed="false">
      <c r="A44" s="6"/>
      <c r="B44" s="17"/>
      <c r="C44" s="6"/>
      <c r="D44" s="6"/>
    </row>
    <row r="45" customFormat="false" ht="15" hidden="false" customHeight="false" outlineLevel="0" collapsed="false">
      <c r="A45" s="10"/>
      <c r="B45" s="16"/>
      <c r="C45" s="10"/>
      <c r="D45" s="10"/>
    </row>
    <row r="46" customFormat="false" ht="15" hidden="false" customHeight="false" outlineLevel="0" collapsed="false">
      <c r="A46" s="6"/>
      <c r="B46" s="17"/>
      <c r="C46" s="6"/>
      <c r="D46" s="6"/>
    </row>
    <row r="47" customFormat="false" ht="15" hidden="false" customHeight="false" outlineLevel="0" collapsed="false">
      <c r="A47" s="18" t="s">
        <v>38</v>
      </c>
      <c r="B47" s="19" t="n">
        <f aca="false">SUM(B11:B46)</f>
        <v>3453.63</v>
      </c>
      <c r="C47" s="18"/>
      <c r="D47" s="18"/>
    </row>
    <row r="48" customFormat="false" ht="6" hidden="false" customHeight="true" outlineLevel="0" collapsed="false"/>
    <row r="49" customFormat="false" ht="15" hidden="false" customHeight="true" outlineLevel="0" collapsed="false">
      <c r="A49" s="20" t="s">
        <v>39</v>
      </c>
      <c r="B49" s="20"/>
      <c r="C49" s="20"/>
      <c r="D49" s="20"/>
    </row>
    <row r="50" customFormat="false" ht="15" hidden="false" customHeight="false" outlineLevel="0" collapsed="false">
      <c r="A50" s="21" t="s">
        <v>40</v>
      </c>
      <c r="B50" s="22" t="n">
        <f aca="false">B7</f>
        <v>0</v>
      </c>
      <c r="C50" s="23"/>
      <c r="D50" s="23"/>
    </row>
    <row r="51" customFormat="false" ht="15" hidden="false" customHeight="false" outlineLevel="0" collapsed="false">
      <c r="A51" s="24" t="s">
        <v>41</v>
      </c>
      <c r="B51" s="25" t="n">
        <f aca="false">B47</f>
        <v>3453.63</v>
      </c>
      <c r="C51" s="26"/>
      <c r="D51" s="26"/>
    </row>
    <row r="52" customFormat="false" ht="15" hidden="false" customHeight="false" outlineLevel="0" collapsed="false">
      <c r="A52" s="27" t="s">
        <v>42</v>
      </c>
      <c r="B52" s="28" t="n">
        <f aca="false">B50-B51</f>
        <v>-3453.63</v>
      </c>
      <c r="C52" s="29"/>
      <c r="D52" s="29"/>
    </row>
  </sheetData>
  <mergeCells count="7">
    <mergeCell ref="A1:D1"/>
    <mergeCell ref="A3:D3"/>
    <mergeCell ref="A9:D9"/>
    <mergeCell ref="A49:D49"/>
    <mergeCell ref="C50:D50"/>
    <mergeCell ref="C51:D51"/>
    <mergeCell ref="C52:D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1" t="s">
        <v>141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6" t="s">
        <v>7</v>
      </c>
      <c r="D5" s="7" t="s">
        <v>8</v>
      </c>
    </row>
    <row r="6" customFormat="false" ht="15" hidden="false" customHeight="false" outlineLevel="0" collapsed="false">
      <c r="A6" s="8" t="s">
        <v>9</v>
      </c>
      <c r="B6" s="9"/>
      <c r="C6" s="10" t="s">
        <v>10</v>
      </c>
      <c r="D6" s="11" t="s">
        <v>8</v>
      </c>
    </row>
    <row r="7" customFormat="false" ht="15" hidden="false" customHeight="false" outlineLevel="0" collapsed="false">
      <c r="A7" s="12" t="s">
        <v>11</v>
      </c>
      <c r="B7" s="1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fals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false" outlineLevel="0" collapsed="false">
      <c r="A11" s="10" t="s">
        <v>142</v>
      </c>
      <c r="B11" s="16" t="n">
        <v>223.65</v>
      </c>
      <c r="C11" s="10" t="s">
        <v>14</v>
      </c>
      <c r="D11" s="10"/>
    </row>
    <row r="12" customFormat="false" ht="15" hidden="false" customHeight="false" outlineLevel="0" collapsed="false">
      <c r="A12" s="6" t="s">
        <v>143</v>
      </c>
      <c r="B12" s="17" t="n">
        <v>78.18</v>
      </c>
      <c r="C12" s="6" t="s">
        <v>7</v>
      </c>
      <c r="D12" s="6"/>
    </row>
    <row r="13" customFormat="false" ht="15" hidden="false" customHeight="false" outlineLevel="0" collapsed="false">
      <c r="A13" s="10" t="s">
        <v>144</v>
      </c>
      <c r="B13" s="16" t="n">
        <v>62.43</v>
      </c>
      <c r="C13" s="10" t="s">
        <v>7</v>
      </c>
      <c r="D13" s="10"/>
    </row>
    <row r="14" customFormat="false" ht="15" hidden="false" customHeight="false" outlineLevel="0" collapsed="false">
      <c r="A14" s="6" t="s">
        <v>145</v>
      </c>
      <c r="B14" s="17" t="n">
        <v>230.25</v>
      </c>
      <c r="C14" s="6" t="s">
        <v>14</v>
      </c>
      <c r="D14" s="6"/>
    </row>
    <row r="15" customFormat="false" ht="15" hidden="false" customHeight="false" outlineLevel="0" collapsed="false">
      <c r="A15" s="10" t="s">
        <v>146</v>
      </c>
      <c r="B15" s="16" t="n">
        <v>111.98</v>
      </c>
      <c r="C15" s="10" t="s">
        <v>7</v>
      </c>
      <c r="D15" s="10"/>
    </row>
    <row r="16" customFormat="false" ht="15" hidden="false" customHeight="false" outlineLevel="0" collapsed="false">
      <c r="A16" s="6" t="s">
        <v>147</v>
      </c>
      <c r="B16" s="17" t="n">
        <v>41.79</v>
      </c>
      <c r="C16" s="6" t="s">
        <v>14</v>
      </c>
      <c r="D16" s="6"/>
    </row>
    <row r="17" customFormat="false" ht="15" hidden="false" customHeight="false" outlineLevel="0" collapsed="false">
      <c r="A17" s="10" t="s">
        <v>18</v>
      </c>
      <c r="B17" s="16" t="n">
        <v>827.5</v>
      </c>
      <c r="C17" s="10" t="s">
        <v>14</v>
      </c>
      <c r="D17" s="10"/>
    </row>
    <row r="18" customFormat="false" ht="15" hidden="false" customHeight="false" outlineLevel="0" collapsed="false">
      <c r="A18" s="6" t="s">
        <v>16</v>
      </c>
      <c r="B18" s="17" t="n">
        <v>76.4</v>
      </c>
      <c r="C18" s="6" t="s">
        <v>14</v>
      </c>
      <c r="D18" s="6"/>
    </row>
    <row r="19" customFormat="false" ht="15" hidden="false" customHeight="false" outlineLevel="0" collapsed="false">
      <c r="A19" s="10" t="s">
        <v>17</v>
      </c>
      <c r="B19" s="16" t="n">
        <v>33.6</v>
      </c>
      <c r="C19" s="10" t="s">
        <v>14</v>
      </c>
      <c r="D19" s="10"/>
    </row>
    <row r="20" customFormat="false" ht="15" hidden="false" customHeight="false" outlineLevel="0" collapsed="false">
      <c r="A20" s="6" t="s">
        <v>21</v>
      </c>
      <c r="B20" s="17" t="n">
        <v>60</v>
      </c>
      <c r="C20" s="6" t="s">
        <v>14</v>
      </c>
      <c r="D20" s="6"/>
    </row>
    <row r="21" customFormat="false" ht="15" hidden="false" customHeight="false" outlineLevel="0" collapsed="false">
      <c r="A21" s="10" t="s">
        <v>148</v>
      </c>
      <c r="B21" s="16" t="n">
        <v>30</v>
      </c>
      <c r="C21" s="10" t="s">
        <v>10</v>
      </c>
      <c r="D21" s="10"/>
    </row>
    <row r="22" customFormat="false" ht="15" hidden="false" customHeight="false" outlineLevel="0" collapsed="false">
      <c r="A22" s="6" t="s">
        <v>149</v>
      </c>
      <c r="B22" s="17" t="n">
        <v>30</v>
      </c>
      <c r="C22" s="6" t="s">
        <v>7</v>
      </c>
      <c r="D22" s="6"/>
    </row>
    <row r="23" customFormat="false" ht="15" hidden="false" customHeight="false" outlineLevel="0" collapsed="false">
      <c r="A23" s="10" t="s">
        <v>50</v>
      </c>
      <c r="B23" s="16" t="n">
        <v>170</v>
      </c>
      <c r="C23" s="10" t="s">
        <v>14</v>
      </c>
      <c r="D23" s="10"/>
    </row>
    <row r="24" customFormat="false" ht="15" hidden="false" customHeight="false" outlineLevel="0" collapsed="false">
      <c r="A24" s="6" t="s">
        <v>58</v>
      </c>
      <c r="B24" s="17" t="n">
        <v>89.28</v>
      </c>
      <c r="C24" s="6" t="s">
        <v>14</v>
      </c>
      <c r="D24" s="6"/>
    </row>
    <row r="25" customFormat="false" ht="15" hidden="false" customHeight="false" outlineLevel="0" collapsed="false">
      <c r="A25" s="10" t="s">
        <v>150</v>
      </c>
      <c r="B25" s="16" t="n">
        <v>20.01</v>
      </c>
      <c r="C25" s="10" t="s">
        <v>7</v>
      </c>
      <c r="D25" s="10"/>
    </row>
    <row r="26" customFormat="false" ht="15" hidden="false" customHeight="false" outlineLevel="0" collapsed="false">
      <c r="A26" s="6" t="s">
        <v>151</v>
      </c>
      <c r="B26" s="17" t="n">
        <v>24.91</v>
      </c>
      <c r="C26" s="6" t="s">
        <v>10</v>
      </c>
      <c r="D26" s="6"/>
    </row>
    <row r="27" customFormat="false" ht="15" hidden="false" customHeight="false" outlineLevel="0" collapsed="false">
      <c r="A27" s="10" t="s">
        <v>134</v>
      </c>
      <c r="B27" s="16" t="n">
        <v>14.93</v>
      </c>
      <c r="C27" s="10" t="s">
        <v>14</v>
      </c>
      <c r="D27" s="10"/>
    </row>
    <row r="28" customFormat="false" ht="15" hidden="false" customHeight="false" outlineLevel="0" collapsed="false">
      <c r="A28" s="6" t="s">
        <v>67</v>
      </c>
      <c r="B28" s="17" t="n">
        <v>13</v>
      </c>
      <c r="C28" s="6" t="s">
        <v>14</v>
      </c>
      <c r="D28" s="6"/>
    </row>
    <row r="29" customFormat="false" ht="15" hidden="false" customHeight="false" outlineLevel="0" collapsed="false">
      <c r="A29" s="10" t="s">
        <v>152</v>
      </c>
      <c r="B29" s="16" t="n">
        <v>243</v>
      </c>
      <c r="C29" s="10" t="s">
        <v>14</v>
      </c>
      <c r="D29" s="10"/>
    </row>
    <row r="30" customFormat="false" ht="15" hidden="false" customHeight="false" outlineLevel="0" collapsed="false">
      <c r="A30" s="6" t="s">
        <v>135</v>
      </c>
      <c r="B30" s="17" t="n">
        <v>17.83</v>
      </c>
      <c r="C30" s="6" t="s">
        <v>14</v>
      </c>
      <c r="D30" s="6"/>
    </row>
    <row r="31" customFormat="false" ht="15" hidden="false" customHeight="false" outlineLevel="0" collapsed="false">
      <c r="A31" s="10" t="s">
        <v>61</v>
      </c>
      <c r="B31" s="16" t="n">
        <v>50</v>
      </c>
      <c r="C31" s="10" t="s">
        <v>14</v>
      </c>
      <c r="D31" s="10"/>
    </row>
    <row r="32" customFormat="false" ht="15" hidden="false" customHeight="false" outlineLevel="0" collapsed="false">
      <c r="A32" s="6" t="s">
        <v>31</v>
      </c>
      <c r="B32" s="17" t="n">
        <v>89</v>
      </c>
      <c r="C32" s="6" t="s">
        <v>14</v>
      </c>
      <c r="D32" s="6"/>
    </row>
    <row r="33" customFormat="false" ht="15" hidden="false" customHeight="false" outlineLevel="0" collapsed="false">
      <c r="A33" s="10" t="s">
        <v>123</v>
      </c>
      <c r="B33" s="16" t="n">
        <v>168.93</v>
      </c>
      <c r="C33" s="10" t="s">
        <v>7</v>
      </c>
      <c r="D33" s="10"/>
    </row>
    <row r="34" customFormat="false" ht="15" hidden="false" customHeight="false" outlineLevel="0" collapsed="false">
      <c r="A34" s="6" t="s">
        <v>104</v>
      </c>
      <c r="B34" s="17" t="n">
        <v>60.97</v>
      </c>
      <c r="C34" s="6" t="s">
        <v>7</v>
      </c>
      <c r="D34" s="6"/>
    </row>
    <row r="35" customFormat="false" ht="15" hidden="false" customHeight="false" outlineLevel="0" collapsed="false">
      <c r="A35" s="10" t="s">
        <v>105</v>
      </c>
      <c r="B35" s="16" t="n">
        <v>8.79</v>
      </c>
      <c r="C35" s="10" t="s">
        <v>10</v>
      </c>
      <c r="D35" s="10"/>
    </row>
    <row r="36" customFormat="false" ht="15" hidden="false" customHeight="false" outlineLevel="0" collapsed="false">
      <c r="A36" s="6" t="s">
        <v>153</v>
      </c>
      <c r="B36" s="17" t="n">
        <v>14.39</v>
      </c>
      <c r="C36" s="6" t="s">
        <v>14</v>
      </c>
      <c r="D36" s="6"/>
    </row>
    <row r="37" customFormat="false" ht="15" hidden="false" customHeight="false" outlineLevel="0" collapsed="false">
      <c r="A37" s="10" t="s">
        <v>122</v>
      </c>
      <c r="B37" s="16" t="n">
        <v>21.95</v>
      </c>
      <c r="C37" s="10" t="s">
        <v>14</v>
      </c>
      <c r="D37" s="10"/>
    </row>
    <row r="38" customFormat="false" ht="15" hidden="false" customHeight="false" outlineLevel="0" collapsed="false">
      <c r="A38" s="6" t="s">
        <v>154</v>
      </c>
      <c r="B38" s="17" t="n">
        <v>68.4</v>
      </c>
      <c r="C38" s="6" t="s">
        <v>14</v>
      </c>
      <c r="D38" s="6"/>
    </row>
    <row r="39" customFormat="false" ht="15" hidden="false" customHeight="false" outlineLevel="0" collapsed="false">
      <c r="A39" s="10" t="s">
        <v>33</v>
      </c>
      <c r="B39" s="16" t="n">
        <v>69.69</v>
      </c>
      <c r="C39" s="10" t="s">
        <v>14</v>
      </c>
      <c r="D39" s="10"/>
    </row>
    <row r="40" customFormat="false" ht="15" hidden="false" customHeight="false" outlineLevel="0" collapsed="false">
      <c r="A40" s="6" t="s">
        <v>140</v>
      </c>
      <c r="B40" s="17" t="n">
        <v>62.7</v>
      </c>
      <c r="C40" s="6" t="s">
        <v>14</v>
      </c>
      <c r="D40" s="6"/>
    </row>
    <row r="41" customFormat="false" ht="15" hidden="false" customHeight="false" outlineLevel="0" collapsed="false">
      <c r="A41" s="10" t="s">
        <v>155</v>
      </c>
      <c r="B41" s="16" t="n">
        <v>47.28</v>
      </c>
      <c r="C41" s="10" t="s">
        <v>14</v>
      </c>
      <c r="D41" s="10"/>
    </row>
    <row r="42" customFormat="false" ht="15" hidden="false" customHeight="false" outlineLevel="0" collapsed="false">
      <c r="A42" s="6" t="s">
        <v>156</v>
      </c>
      <c r="B42" s="17" t="n">
        <v>18.2</v>
      </c>
      <c r="C42" s="6" t="s">
        <v>10</v>
      </c>
      <c r="D42" s="6"/>
    </row>
    <row r="43" customFormat="false" ht="15" hidden="false" customHeight="false" outlineLevel="0" collapsed="false">
      <c r="A43" s="10"/>
      <c r="B43" s="16"/>
      <c r="C43" s="10"/>
      <c r="D43" s="10"/>
    </row>
    <row r="44" customFormat="false" ht="15" hidden="false" customHeight="false" outlineLevel="0" collapsed="false">
      <c r="A44" s="6"/>
      <c r="B44" s="17"/>
      <c r="C44" s="6"/>
      <c r="D44" s="6"/>
    </row>
    <row r="45" customFormat="false" ht="15" hidden="false" customHeight="false" outlineLevel="0" collapsed="false">
      <c r="A45" s="10"/>
      <c r="B45" s="16"/>
      <c r="C45" s="10"/>
      <c r="D45" s="10"/>
    </row>
    <row r="46" customFormat="false" ht="15" hidden="false" customHeight="false" outlineLevel="0" collapsed="false">
      <c r="A46" s="6"/>
      <c r="B46" s="17"/>
      <c r="C46" s="6"/>
      <c r="D46" s="6"/>
    </row>
    <row r="47" customFormat="false" ht="15" hidden="false" customHeight="false" outlineLevel="0" collapsed="false">
      <c r="A47" s="10"/>
      <c r="B47" s="16"/>
      <c r="C47" s="10"/>
      <c r="D47" s="10"/>
    </row>
    <row r="48" customFormat="false" ht="15" hidden="false" customHeight="false" outlineLevel="0" collapsed="false">
      <c r="A48" s="18" t="s">
        <v>38</v>
      </c>
      <c r="B48" s="19" t="n">
        <f aca="false">SUM(B11:B47)</f>
        <v>3079.04</v>
      </c>
      <c r="C48" s="18"/>
      <c r="D48" s="18"/>
    </row>
    <row r="49" customFormat="false" ht="6" hidden="false" customHeight="true" outlineLevel="0" collapsed="false"/>
    <row r="50" customFormat="false" ht="15" hidden="false" customHeight="true" outlineLevel="0" collapsed="false">
      <c r="A50" s="20" t="s">
        <v>39</v>
      </c>
      <c r="B50" s="20"/>
      <c r="C50" s="20"/>
      <c r="D50" s="20"/>
    </row>
    <row r="51" customFormat="false" ht="15" hidden="false" customHeight="false" outlineLevel="0" collapsed="false">
      <c r="A51" s="21" t="s">
        <v>40</v>
      </c>
      <c r="B51" s="22" t="n">
        <f aca="false">B7</f>
        <v>0</v>
      </c>
      <c r="C51" s="23"/>
      <c r="D51" s="23"/>
    </row>
    <row r="52" customFormat="false" ht="15" hidden="false" customHeight="false" outlineLevel="0" collapsed="false">
      <c r="A52" s="24" t="s">
        <v>41</v>
      </c>
      <c r="B52" s="25" t="n">
        <f aca="false">B48</f>
        <v>3079.04</v>
      </c>
      <c r="C52" s="26"/>
      <c r="D52" s="26"/>
    </row>
    <row r="53" customFormat="false" ht="15" hidden="false" customHeight="false" outlineLevel="0" collapsed="false">
      <c r="A53" s="27" t="s">
        <v>42</v>
      </c>
      <c r="B53" s="28" t="n">
        <f aca="false">B51-B52</f>
        <v>-3079.04</v>
      </c>
      <c r="C53" s="29"/>
      <c r="D53" s="29"/>
    </row>
  </sheetData>
  <mergeCells count="7">
    <mergeCell ref="A1:D1"/>
    <mergeCell ref="A3:D3"/>
    <mergeCell ref="A9:D9"/>
    <mergeCell ref="A50:D50"/>
    <mergeCell ref="C51:D51"/>
    <mergeCell ref="C52:D52"/>
    <mergeCell ref="C53:D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1" t="s">
        <v>157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6" t="s">
        <v>7</v>
      </c>
      <c r="D5" s="7" t="s">
        <v>8</v>
      </c>
    </row>
    <row r="6" customFormat="false" ht="15" hidden="false" customHeight="false" outlineLevel="0" collapsed="false">
      <c r="A6" s="8" t="s">
        <v>9</v>
      </c>
      <c r="B6" s="9"/>
      <c r="C6" s="10" t="s">
        <v>10</v>
      </c>
      <c r="D6" s="11" t="s">
        <v>8</v>
      </c>
    </row>
    <row r="7" customFormat="false" ht="15" hidden="false" customHeight="false" outlineLevel="0" collapsed="false">
      <c r="A7" s="12" t="s">
        <v>11</v>
      </c>
      <c r="B7" s="1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fals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false" outlineLevel="0" collapsed="false">
      <c r="A11" s="10" t="s">
        <v>158</v>
      </c>
      <c r="B11" s="16" t="n">
        <v>56.25</v>
      </c>
      <c r="C11" s="10" t="s">
        <v>14</v>
      </c>
      <c r="D11" s="10"/>
    </row>
    <row r="12" customFormat="false" ht="15" hidden="false" customHeight="false" outlineLevel="0" collapsed="false">
      <c r="A12" s="6" t="s">
        <v>159</v>
      </c>
      <c r="B12" s="17" t="n">
        <v>227.82</v>
      </c>
      <c r="C12" s="6" t="s">
        <v>14</v>
      </c>
      <c r="D12" s="6"/>
    </row>
    <row r="13" customFormat="false" ht="15" hidden="false" customHeight="false" outlineLevel="0" collapsed="false">
      <c r="A13" s="10" t="s">
        <v>160</v>
      </c>
      <c r="B13" s="16" t="n">
        <v>78.18</v>
      </c>
      <c r="C13" s="10" t="s">
        <v>7</v>
      </c>
      <c r="D13" s="10"/>
    </row>
    <row r="14" customFormat="false" ht="15" hidden="false" customHeight="false" outlineLevel="0" collapsed="false">
      <c r="A14" s="6" t="s">
        <v>161</v>
      </c>
      <c r="B14" s="17" t="n">
        <v>62.43</v>
      </c>
      <c r="C14" s="6" t="s">
        <v>7</v>
      </c>
      <c r="D14" s="6"/>
    </row>
    <row r="15" customFormat="false" ht="15" hidden="false" customHeight="false" outlineLevel="0" collapsed="false">
      <c r="A15" s="10" t="s">
        <v>162</v>
      </c>
      <c r="B15" s="16" t="n">
        <v>230.25</v>
      </c>
      <c r="C15" s="10" t="s">
        <v>14</v>
      </c>
      <c r="D15" s="10"/>
    </row>
    <row r="16" customFormat="false" ht="15" hidden="false" customHeight="false" outlineLevel="0" collapsed="false">
      <c r="A16" s="6" t="s">
        <v>163</v>
      </c>
      <c r="B16" s="17" t="n">
        <v>111.98</v>
      </c>
      <c r="C16" s="6" t="s">
        <v>7</v>
      </c>
      <c r="D16" s="6"/>
    </row>
    <row r="17" customFormat="false" ht="15" hidden="false" customHeight="false" outlineLevel="0" collapsed="false">
      <c r="A17" s="10" t="s">
        <v>164</v>
      </c>
      <c r="B17" s="16" t="n">
        <v>41.79</v>
      </c>
      <c r="C17" s="10" t="s">
        <v>14</v>
      </c>
      <c r="D17" s="10"/>
    </row>
    <row r="18" customFormat="false" ht="15" hidden="false" customHeight="false" outlineLevel="0" collapsed="false">
      <c r="A18" s="6" t="s">
        <v>165</v>
      </c>
      <c r="B18" s="17" t="n">
        <v>62.7</v>
      </c>
      <c r="C18" s="6" t="s">
        <v>10</v>
      </c>
      <c r="D18" s="6"/>
    </row>
    <row r="19" customFormat="false" ht="15" hidden="false" customHeight="false" outlineLevel="0" collapsed="false">
      <c r="A19" s="10" t="s">
        <v>18</v>
      </c>
      <c r="B19" s="16" t="n">
        <v>827.5</v>
      </c>
      <c r="C19" s="10" t="s">
        <v>14</v>
      </c>
      <c r="D19" s="10"/>
    </row>
    <row r="20" customFormat="false" ht="15" hidden="false" customHeight="false" outlineLevel="0" collapsed="false">
      <c r="A20" s="6" t="s">
        <v>166</v>
      </c>
      <c r="B20" s="17" t="n">
        <v>76.4</v>
      </c>
      <c r="C20" s="6" t="s">
        <v>14</v>
      </c>
      <c r="D20" s="6"/>
    </row>
    <row r="21" customFormat="false" ht="15" hidden="false" customHeight="false" outlineLevel="0" collapsed="false">
      <c r="A21" s="10" t="s">
        <v>17</v>
      </c>
      <c r="B21" s="16" t="n">
        <v>33.6</v>
      </c>
      <c r="C21" s="10" t="s">
        <v>14</v>
      </c>
      <c r="D21" s="10"/>
    </row>
    <row r="22" customFormat="false" ht="15" hidden="false" customHeight="false" outlineLevel="0" collapsed="false">
      <c r="A22" s="6" t="s">
        <v>21</v>
      </c>
      <c r="B22" s="17" t="n">
        <v>60</v>
      </c>
      <c r="C22" s="6" t="s">
        <v>14</v>
      </c>
      <c r="D22" s="6"/>
    </row>
    <row r="23" customFormat="false" ht="15" hidden="false" customHeight="false" outlineLevel="0" collapsed="false">
      <c r="A23" s="10" t="s">
        <v>167</v>
      </c>
      <c r="B23" s="16" t="n">
        <v>30</v>
      </c>
      <c r="C23" s="10" t="s">
        <v>10</v>
      </c>
      <c r="D23" s="10"/>
    </row>
    <row r="24" customFormat="false" ht="15" hidden="false" customHeight="false" outlineLevel="0" collapsed="false">
      <c r="A24" s="6" t="s">
        <v>168</v>
      </c>
      <c r="B24" s="17" t="n">
        <v>30</v>
      </c>
      <c r="C24" s="6" t="s">
        <v>7</v>
      </c>
      <c r="D24" s="6"/>
    </row>
    <row r="25" customFormat="false" ht="15" hidden="false" customHeight="false" outlineLevel="0" collapsed="false">
      <c r="A25" s="10" t="s">
        <v>67</v>
      </c>
      <c r="B25" s="16" t="n">
        <v>13</v>
      </c>
      <c r="C25" s="10" t="s">
        <v>14</v>
      </c>
      <c r="D25" s="10"/>
    </row>
    <row r="26" customFormat="false" ht="15" hidden="false" customHeight="false" outlineLevel="0" collapsed="false">
      <c r="A26" s="6" t="s">
        <v>169</v>
      </c>
      <c r="B26" s="17" t="n">
        <v>14.39</v>
      </c>
      <c r="C26" s="6" t="s">
        <v>14</v>
      </c>
      <c r="D26" s="6"/>
    </row>
    <row r="27" customFormat="false" ht="15" hidden="false" customHeight="false" outlineLevel="0" collapsed="false">
      <c r="A27" s="10" t="s">
        <v>31</v>
      </c>
      <c r="B27" s="16" t="n">
        <v>89.26</v>
      </c>
      <c r="C27" s="10" t="s">
        <v>14</v>
      </c>
      <c r="D27" s="10"/>
    </row>
    <row r="28" customFormat="false" ht="15" hidden="false" customHeight="false" outlineLevel="0" collapsed="false">
      <c r="A28" s="6" t="s">
        <v>98</v>
      </c>
      <c r="B28" s="17" t="n">
        <v>20.01</v>
      </c>
      <c r="C28" s="6" t="s">
        <v>14</v>
      </c>
      <c r="D28" s="6"/>
    </row>
    <row r="29" customFormat="false" ht="15" hidden="false" customHeight="false" outlineLevel="0" collapsed="false">
      <c r="A29" s="10" t="s">
        <v>99</v>
      </c>
      <c r="B29" s="16" t="n">
        <v>24.91</v>
      </c>
      <c r="C29" s="10" t="s">
        <v>14</v>
      </c>
      <c r="D29" s="10"/>
    </row>
    <row r="30" customFormat="false" ht="15" hidden="false" customHeight="false" outlineLevel="0" collapsed="false">
      <c r="A30" s="6" t="s">
        <v>134</v>
      </c>
      <c r="B30" s="17" t="n">
        <v>17.83</v>
      </c>
      <c r="C30" s="6" t="s">
        <v>14</v>
      </c>
      <c r="D30" s="6"/>
    </row>
    <row r="31" customFormat="false" ht="15" hidden="false" customHeight="false" outlineLevel="0" collapsed="false">
      <c r="A31" s="10" t="s">
        <v>135</v>
      </c>
      <c r="B31" s="16" t="n">
        <v>14.93</v>
      </c>
      <c r="C31" s="10" t="s">
        <v>14</v>
      </c>
      <c r="D31" s="10"/>
    </row>
    <row r="32" customFormat="false" ht="15" hidden="false" customHeight="false" outlineLevel="0" collapsed="false">
      <c r="A32" s="6" t="s">
        <v>33</v>
      </c>
      <c r="B32" s="17" t="n">
        <v>57.82</v>
      </c>
      <c r="C32" s="6" t="s">
        <v>14</v>
      </c>
      <c r="D32" s="6"/>
    </row>
    <row r="33" customFormat="false" ht="15" hidden="false" customHeight="false" outlineLevel="0" collapsed="false">
      <c r="A33" s="10" t="s">
        <v>122</v>
      </c>
      <c r="B33" s="16" t="n">
        <v>38.47</v>
      </c>
      <c r="C33" s="10" t="s">
        <v>14</v>
      </c>
      <c r="D33" s="10"/>
    </row>
    <row r="34" customFormat="false" ht="15" hidden="false" customHeight="false" outlineLevel="0" collapsed="false">
      <c r="A34" s="6" t="s">
        <v>170</v>
      </c>
      <c r="B34" s="17" t="n">
        <v>0</v>
      </c>
      <c r="C34" s="6" t="s">
        <v>14</v>
      </c>
      <c r="D34" s="6"/>
    </row>
    <row r="35" customFormat="false" ht="15" hidden="false" customHeight="false" outlineLevel="0" collapsed="false">
      <c r="A35" s="10" t="s">
        <v>156</v>
      </c>
      <c r="B35" s="16" t="n">
        <v>32.41</v>
      </c>
      <c r="C35" s="10" t="s">
        <v>10</v>
      </c>
      <c r="D35" s="10"/>
    </row>
    <row r="36" customFormat="false" ht="15" hidden="false" customHeight="false" outlineLevel="0" collapsed="false">
      <c r="A36" s="6" t="s">
        <v>104</v>
      </c>
      <c r="B36" s="17" t="n">
        <v>104.49</v>
      </c>
      <c r="C36" s="6" t="s">
        <v>7</v>
      </c>
      <c r="D36" s="6"/>
    </row>
    <row r="37" customFormat="false" ht="15" hidden="false" customHeight="false" outlineLevel="0" collapsed="false">
      <c r="A37" s="10" t="s">
        <v>105</v>
      </c>
      <c r="B37" s="16" t="n">
        <v>89.26</v>
      </c>
      <c r="C37" s="10" t="s">
        <v>10</v>
      </c>
      <c r="D37" s="10"/>
    </row>
    <row r="38" customFormat="false" ht="15" hidden="false" customHeight="false" outlineLevel="0" collapsed="false">
      <c r="A38" s="6" t="s">
        <v>123</v>
      </c>
      <c r="B38" s="17" t="n">
        <v>170.87</v>
      </c>
      <c r="C38" s="6" t="s">
        <v>7</v>
      </c>
      <c r="D38" s="6"/>
    </row>
    <row r="39" customFormat="false" ht="15" hidden="false" customHeight="false" outlineLevel="0" collapsed="false">
      <c r="A39" s="10" t="s">
        <v>171</v>
      </c>
      <c r="B39" s="16" t="n">
        <v>519</v>
      </c>
      <c r="C39" s="10" t="s">
        <v>14</v>
      </c>
      <c r="D39" s="10"/>
    </row>
    <row r="40" customFormat="false" ht="15" hidden="false" customHeight="false" outlineLevel="0" collapsed="false">
      <c r="A40" s="6" t="s">
        <v>172</v>
      </c>
      <c r="B40" s="17" t="n">
        <v>89.28</v>
      </c>
      <c r="C40" s="6" t="s">
        <v>14</v>
      </c>
      <c r="D40" s="6"/>
    </row>
    <row r="41" customFormat="false" ht="15" hidden="false" customHeight="false" outlineLevel="0" collapsed="false">
      <c r="A41" s="10" t="s">
        <v>173</v>
      </c>
      <c r="B41" s="16" t="n">
        <v>12.78</v>
      </c>
      <c r="C41" s="10" t="s">
        <v>14</v>
      </c>
      <c r="D41" s="10" t="s">
        <v>174</v>
      </c>
    </row>
    <row r="42" customFormat="false" ht="15" hidden="false" customHeight="false" outlineLevel="0" collapsed="false">
      <c r="A42" s="6" t="s">
        <v>175</v>
      </c>
      <c r="B42" s="17" t="n">
        <v>47.03</v>
      </c>
      <c r="C42" s="6" t="s">
        <v>14</v>
      </c>
      <c r="D42" s="6"/>
    </row>
    <row r="43" customFormat="false" ht="15" hidden="false" customHeight="false" outlineLevel="0" collapsed="false">
      <c r="A43" s="10"/>
      <c r="B43" s="16"/>
      <c r="C43" s="10"/>
      <c r="D43" s="10"/>
    </row>
    <row r="44" customFormat="false" ht="15" hidden="false" customHeight="false" outlineLevel="0" collapsed="false">
      <c r="A44" s="6"/>
      <c r="B44" s="17"/>
      <c r="C44" s="6"/>
      <c r="D44" s="6"/>
    </row>
    <row r="45" customFormat="false" ht="15" hidden="false" customHeight="false" outlineLevel="0" collapsed="false">
      <c r="A45" s="10"/>
      <c r="B45" s="16"/>
      <c r="C45" s="10"/>
      <c r="D45" s="10"/>
    </row>
    <row r="46" customFormat="false" ht="15" hidden="false" customHeight="false" outlineLevel="0" collapsed="false">
      <c r="A46" s="6"/>
      <c r="B46" s="17"/>
      <c r="C46" s="6"/>
      <c r="D46" s="6"/>
    </row>
    <row r="47" customFormat="false" ht="15" hidden="false" customHeight="false" outlineLevel="0" collapsed="false">
      <c r="A47" s="10"/>
      <c r="B47" s="16"/>
      <c r="C47" s="10"/>
      <c r="D47" s="10"/>
    </row>
    <row r="48" customFormat="false" ht="15" hidden="false" customHeight="false" outlineLevel="0" collapsed="false">
      <c r="A48" s="18" t="s">
        <v>38</v>
      </c>
      <c r="B48" s="19" t="n">
        <f aca="false">SUM(B11:B47)</f>
        <v>3284.64</v>
      </c>
      <c r="C48" s="18"/>
      <c r="D48" s="18"/>
    </row>
    <row r="49" customFormat="false" ht="6" hidden="false" customHeight="true" outlineLevel="0" collapsed="false"/>
    <row r="50" customFormat="false" ht="15" hidden="false" customHeight="true" outlineLevel="0" collapsed="false">
      <c r="A50" s="20" t="s">
        <v>39</v>
      </c>
      <c r="B50" s="20"/>
      <c r="C50" s="20"/>
      <c r="D50" s="20"/>
    </row>
    <row r="51" customFormat="false" ht="15" hidden="false" customHeight="false" outlineLevel="0" collapsed="false">
      <c r="A51" s="21" t="s">
        <v>40</v>
      </c>
      <c r="B51" s="22" t="n">
        <f aca="false">B7</f>
        <v>0</v>
      </c>
      <c r="C51" s="23"/>
      <c r="D51" s="23"/>
    </row>
    <row r="52" customFormat="false" ht="15" hidden="false" customHeight="false" outlineLevel="0" collapsed="false">
      <c r="A52" s="24" t="s">
        <v>41</v>
      </c>
      <c r="B52" s="25" t="n">
        <f aca="false">B48</f>
        <v>3284.64</v>
      </c>
      <c r="C52" s="26"/>
      <c r="D52" s="26"/>
    </row>
    <row r="53" customFormat="false" ht="15" hidden="false" customHeight="false" outlineLevel="0" collapsed="false">
      <c r="A53" s="27" t="s">
        <v>42</v>
      </c>
      <c r="B53" s="28" t="n">
        <f aca="false">B51-B52</f>
        <v>-3284.64</v>
      </c>
      <c r="C53" s="29"/>
      <c r="D53" s="29"/>
    </row>
  </sheetData>
  <mergeCells count="7">
    <mergeCell ref="A1:D1"/>
    <mergeCell ref="A3:D3"/>
    <mergeCell ref="A9:D9"/>
    <mergeCell ref="A50:D50"/>
    <mergeCell ref="C51:D51"/>
    <mergeCell ref="C52:D52"/>
    <mergeCell ref="C53:D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1" t="s">
        <v>176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6" t="s">
        <v>7</v>
      </c>
      <c r="D5" s="7" t="s">
        <v>8</v>
      </c>
    </row>
    <row r="6" customFormat="false" ht="15" hidden="false" customHeight="false" outlineLevel="0" collapsed="false">
      <c r="A6" s="8" t="s">
        <v>9</v>
      </c>
      <c r="B6" s="9"/>
      <c r="C6" s="10" t="s">
        <v>10</v>
      </c>
      <c r="D6" s="11" t="s">
        <v>8</v>
      </c>
    </row>
    <row r="7" customFormat="false" ht="15" hidden="false" customHeight="false" outlineLevel="0" collapsed="false">
      <c r="A7" s="12" t="s">
        <v>11</v>
      </c>
      <c r="B7" s="1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fals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false" outlineLevel="0" collapsed="false">
      <c r="A11" s="10" t="s">
        <v>177</v>
      </c>
      <c r="B11" s="16" t="n">
        <v>227.82</v>
      </c>
      <c r="C11" s="10" t="s">
        <v>14</v>
      </c>
      <c r="D11" s="10"/>
    </row>
    <row r="12" customFormat="false" ht="15" hidden="false" customHeight="false" outlineLevel="0" collapsed="false">
      <c r="A12" s="6" t="s">
        <v>178</v>
      </c>
      <c r="B12" s="17" t="n">
        <v>165.85</v>
      </c>
      <c r="C12" s="6" t="s">
        <v>14</v>
      </c>
      <c r="D12" s="6"/>
    </row>
    <row r="13" customFormat="false" ht="15" hidden="false" customHeight="false" outlineLevel="0" collapsed="false">
      <c r="A13" s="10" t="s">
        <v>179</v>
      </c>
      <c r="B13" s="16" t="n">
        <v>44.35</v>
      </c>
      <c r="C13" s="10" t="s">
        <v>14</v>
      </c>
      <c r="D13" s="10"/>
    </row>
    <row r="14" customFormat="false" ht="15" hidden="false" customHeight="false" outlineLevel="0" collapsed="false">
      <c r="A14" s="6" t="s">
        <v>180</v>
      </c>
      <c r="B14" s="17" t="n">
        <v>78.18</v>
      </c>
      <c r="C14" s="6" t="s">
        <v>7</v>
      </c>
      <c r="D14" s="6"/>
    </row>
    <row r="15" customFormat="false" ht="15" hidden="false" customHeight="false" outlineLevel="0" collapsed="false">
      <c r="A15" s="10" t="s">
        <v>181</v>
      </c>
      <c r="B15" s="16" t="n">
        <v>62.43</v>
      </c>
      <c r="C15" s="10" t="s">
        <v>7</v>
      </c>
      <c r="D15" s="10"/>
    </row>
    <row r="16" customFormat="false" ht="15" hidden="false" customHeight="false" outlineLevel="0" collapsed="false">
      <c r="A16" s="6" t="s">
        <v>182</v>
      </c>
      <c r="B16" s="17" t="n">
        <v>230.25</v>
      </c>
      <c r="C16" s="6" t="s">
        <v>14</v>
      </c>
      <c r="D16" s="6"/>
    </row>
    <row r="17" customFormat="false" ht="15" hidden="false" customHeight="false" outlineLevel="0" collapsed="false">
      <c r="A17" s="10" t="s">
        <v>183</v>
      </c>
      <c r="B17" s="16" t="n">
        <v>111.98</v>
      </c>
      <c r="C17" s="10" t="s">
        <v>7</v>
      </c>
      <c r="D17" s="10"/>
    </row>
    <row r="18" customFormat="false" ht="15" hidden="false" customHeight="false" outlineLevel="0" collapsed="false">
      <c r="A18" s="6" t="s">
        <v>184</v>
      </c>
      <c r="B18" s="17" t="n">
        <v>41.79</v>
      </c>
      <c r="C18" s="6" t="s">
        <v>14</v>
      </c>
      <c r="D18" s="6"/>
    </row>
    <row r="19" customFormat="false" ht="15" hidden="false" customHeight="false" outlineLevel="0" collapsed="false">
      <c r="A19" s="10" t="s">
        <v>165</v>
      </c>
      <c r="B19" s="16" t="n">
        <v>62.7</v>
      </c>
      <c r="C19" s="10" t="s">
        <v>10</v>
      </c>
      <c r="D19" s="10"/>
    </row>
    <row r="20" customFormat="false" ht="15" hidden="false" customHeight="false" outlineLevel="0" collapsed="false">
      <c r="A20" s="6" t="s">
        <v>18</v>
      </c>
      <c r="B20" s="17" t="n">
        <v>827.5</v>
      </c>
      <c r="C20" s="6" t="s">
        <v>14</v>
      </c>
      <c r="D20" s="6"/>
    </row>
    <row r="21" customFormat="false" ht="15" hidden="false" customHeight="false" outlineLevel="0" collapsed="false">
      <c r="A21" s="10" t="s">
        <v>166</v>
      </c>
      <c r="B21" s="16" t="n">
        <v>76.4</v>
      </c>
      <c r="C21" s="10" t="s">
        <v>14</v>
      </c>
      <c r="D21" s="10"/>
    </row>
    <row r="22" customFormat="false" ht="15" hidden="false" customHeight="false" outlineLevel="0" collapsed="false">
      <c r="A22" s="6" t="s">
        <v>17</v>
      </c>
      <c r="B22" s="17" t="n">
        <v>33.6</v>
      </c>
      <c r="C22" s="6" t="s">
        <v>14</v>
      </c>
      <c r="D22" s="6"/>
    </row>
    <row r="23" customFormat="false" ht="15" hidden="false" customHeight="false" outlineLevel="0" collapsed="false">
      <c r="A23" s="10" t="s">
        <v>21</v>
      </c>
      <c r="B23" s="16" t="n">
        <v>60</v>
      </c>
      <c r="C23" s="10" t="s">
        <v>14</v>
      </c>
      <c r="D23" s="10"/>
    </row>
    <row r="24" customFormat="false" ht="15" hidden="false" customHeight="false" outlineLevel="0" collapsed="false">
      <c r="A24" s="6" t="s">
        <v>185</v>
      </c>
      <c r="B24" s="17" t="n">
        <v>30</v>
      </c>
      <c r="C24" s="6" t="s">
        <v>10</v>
      </c>
      <c r="D24" s="6"/>
    </row>
    <row r="25" customFormat="false" ht="15" hidden="false" customHeight="false" outlineLevel="0" collapsed="false">
      <c r="A25" s="10" t="s">
        <v>149</v>
      </c>
      <c r="B25" s="16" t="n">
        <v>30</v>
      </c>
      <c r="C25" s="10" t="s">
        <v>7</v>
      </c>
      <c r="D25" s="10"/>
    </row>
    <row r="26" customFormat="false" ht="15" hidden="false" customHeight="false" outlineLevel="0" collapsed="false">
      <c r="A26" s="6" t="s">
        <v>172</v>
      </c>
      <c r="B26" s="17" t="n">
        <v>89.28</v>
      </c>
      <c r="C26" s="6" t="s">
        <v>14</v>
      </c>
      <c r="D26" s="6"/>
    </row>
    <row r="27" customFormat="false" ht="15" hidden="false" customHeight="false" outlineLevel="0" collapsed="false">
      <c r="A27" s="10" t="s">
        <v>123</v>
      </c>
      <c r="B27" s="16" t="n">
        <v>469.89</v>
      </c>
      <c r="C27" s="10" t="s">
        <v>7</v>
      </c>
      <c r="D27" s="10"/>
    </row>
    <row r="28" customFormat="false" ht="15" hidden="false" customHeight="false" outlineLevel="0" collapsed="false">
      <c r="A28" s="6" t="s">
        <v>136</v>
      </c>
      <c r="B28" s="17" t="n">
        <v>407.17</v>
      </c>
      <c r="C28" s="6" t="s">
        <v>10</v>
      </c>
      <c r="D28" s="6"/>
    </row>
    <row r="29" customFormat="false" ht="15" hidden="false" customHeight="false" outlineLevel="0" collapsed="false">
      <c r="A29" s="10" t="s">
        <v>15</v>
      </c>
      <c r="B29" s="16" t="n">
        <v>54.92</v>
      </c>
      <c r="C29" s="10" t="s">
        <v>14</v>
      </c>
      <c r="D29" s="10"/>
    </row>
    <row r="30" customFormat="false" ht="15" hidden="false" customHeight="false" outlineLevel="0" collapsed="false">
      <c r="A30" s="6" t="s">
        <v>33</v>
      </c>
      <c r="B30" s="17" t="n">
        <v>75.72</v>
      </c>
      <c r="C30" s="6" t="s">
        <v>14</v>
      </c>
      <c r="D30" s="6"/>
    </row>
    <row r="31" customFormat="false" ht="15" hidden="false" customHeight="false" outlineLevel="0" collapsed="false">
      <c r="A31" s="10" t="s">
        <v>134</v>
      </c>
      <c r="B31" s="16" t="n">
        <v>14.93</v>
      </c>
      <c r="C31" s="10" t="s">
        <v>14</v>
      </c>
      <c r="D31" s="10"/>
    </row>
    <row r="32" customFormat="false" ht="15" hidden="false" customHeight="false" outlineLevel="0" collapsed="false">
      <c r="A32" s="6" t="s">
        <v>186</v>
      </c>
      <c r="B32" s="17" t="n">
        <v>15.99</v>
      </c>
      <c r="C32" s="6" t="s">
        <v>14</v>
      </c>
      <c r="D32" s="6"/>
    </row>
    <row r="33" customFormat="false" ht="15" hidden="false" customHeight="false" outlineLevel="0" collapsed="false">
      <c r="A33" s="10" t="s">
        <v>67</v>
      </c>
      <c r="B33" s="16" t="n">
        <v>13</v>
      </c>
      <c r="C33" s="10" t="s">
        <v>14</v>
      </c>
      <c r="D33" s="10"/>
    </row>
    <row r="34" customFormat="false" ht="15" hidden="false" customHeight="false" outlineLevel="0" collapsed="false">
      <c r="A34" s="6" t="s">
        <v>104</v>
      </c>
      <c r="B34" s="17" t="n">
        <v>72.54</v>
      </c>
      <c r="C34" s="6" t="s">
        <v>7</v>
      </c>
      <c r="D34" s="6"/>
    </row>
    <row r="35" customFormat="false" ht="15" hidden="false" customHeight="false" outlineLevel="0" collapsed="false">
      <c r="A35" s="10" t="s">
        <v>105</v>
      </c>
      <c r="B35" s="16" t="n">
        <v>77.44</v>
      </c>
      <c r="C35" s="10" t="s">
        <v>10</v>
      </c>
      <c r="D35" s="10"/>
    </row>
    <row r="36" customFormat="false" ht="15" hidden="false" customHeight="false" outlineLevel="0" collapsed="false">
      <c r="A36" s="6" t="s">
        <v>122</v>
      </c>
      <c r="B36" s="17" t="n">
        <v>23</v>
      </c>
      <c r="C36" s="6" t="s">
        <v>14</v>
      </c>
      <c r="D36" s="6"/>
    </row>
    <row r="37" customFormat="false" ht="15" hidden="false" customHeight="false" outlineLevel="0" collapsed="false">
      <c r="A37" s="10" t="s">
        <v>187</v>
      </c>
      <c r="B37" s="16" t="n">
        <v>396</v>
      </c>
      <c r="C37" s="10" t="s">
        <v>14</v>
      </c>
      <c r="D37" s="10"/>
    </row>
    <row r="38" customFormat="false" ht="15" hidden="false" customHeight="false" outlineLevel="0" collapsed="false">
      <c r="A38" s="6" t="s">
        <v>31</v>
      </c>
      <c r="B38" s="17" t="n">
        <v>158.69</v>
      </c>
      <c r="C38" s="6" t="s">
        <v>14</v>
      </c>
      <c r="D38" s="6"/>
    </row>
    <row r="39" customFormat="false" ht="15" hidden="false" customHeight="false" outlineLevel="0" collapsed="false">
      <c r="A39" s="10" t="s">
        <v>173</v>
      </c>
      <c r="B39" s="16" t="n">
        <v>56.97</v>
      </c>
      <c r="C39" s="10" t="s">
        <v>14</v>
      </c>
      <c r="D39" s="10"/>
    </row>
    <row r="40" customFormat="false" ht="15" hidden="false" customHeight="false" outlineLevel="0" collapsed="false">
      <c r="A40" s="6" t="s">
        <v>98</v>
      </c>
      <c r="B40" s="17" t="n">
        <v>24.91</v>
      </c>
      <c r="C40" s="6" t="s">
        <v>14</v>
      </c>
      <c r="D40" s="6"/>
    </row>
    <row r="41" customFormat="false" ht="15" hidden="false" customHeight="false" outlineLevel="0" collapsed="false">
      <c r="A41" s="10" t="s">
        <v>135</v>
      </c>
      <c r="B41" s="16" t="n">
        <v>17.83</v>
      </c>
      <c r="C41" s="10" t="s">
        <v>14</v>
      </c>
      <c r="D41" s="10"/>
    </row>
    <row r="42" customFormat="false" ht="15" hidden="false" customHeight="false" outlineLevel="0" collapsed="false">
      <c r="A42" s="6" t="s">
        <v>99</v>
      </c>
      <c r="B42" s="17" t="n">
        <v>20.01</v>
      </c>
      <c r="C42" s="6" t="s">
        <v>14</v>
      </c>
      <c r="D42" s="6"/>
    </row>
    <row r="43" customFormat="false" ht="15" hidden="false" customHeight="false" outlineLevel="0" collapsed="false">
      <c r="A43" s="10"/>
      <c r="B43" s="16"/>
      <c r="C43" s="10"/>
      <c r="D43" s="10"/>
    </row>
    <row r="44" customFormat="false" ht="15" hidden="false" customHeight="false" outlineLevel="0" collapsed="false">
      <c r="A44" s="6"/>
      <c r="B44" s="17"/>
      <c r="C44" s="6"/>
      <c r="D44" s="6"/>
    </row>
    <row r="45" customFormat="false" ht="15" hidden="false" customHeight="false" outlineLevel="0" collapsed="false">
      <c r="A45" s="10"/>
      <c r="B45" s="16"/>
      <c r="C45" s="10"/>
      <c r="D45" s="10"/>
    </row>
    <row r="46" customFormat="false" ht="15" hidden="false" customHeight="false" outlineLevel="0" collapsed="false">
      <c r="A46" s="6"/>
      <c r="B46" s="17"/>
      <c r="C46" s="6"/>
      <c r="D46" s="6"/>
    </row>
    <row r="47" customFormat="false" ht="15" hidden="false" customHeight="false" outlineLevel="0" collapsed="false">
      <c r="A47" s="10"/>
      <c r="B47" s="16"/>
      <c r="C47" s="10"/>
      <c r="D47" s="10"/>
    </row>
    <row r="48" customFormat="false" ht="15" hidden="false" customHeight="false" outlineLevel="0" collapsed="false">
      <c r="A48" s="18" t="s">
        <v>38</v>
      </c>
      <c r="B48" s="19" t="n">
        <f aca="false">SUM(B11:B47)</f>
        <v>4071.14</v>
      </c>
      <c r="C48" s="18"/>
      <c r="D48" s="18"/>
    </row>
    <row r="49" customFormat="false" ht="6" hidden="false" customHeight="true" outlineLevel="0" collapsed="false"/>
    <row r="50" customFormat="false" ht="15" hidden="false" customHeight="true" outlineLevel="0" collapsed="false">
      <c r="A50" s="20" t="s">
        <v>39</v>
      </c>
      <c r="B50" s="20"/>
      <c r="C50" s="20"/>
      <c r="D50" s="20"/>
    </row>
    <row r="51" customFormat="false" ht="15" hidden="false" customHeight="false" outlineLevel="0" collapsed="false">
      <c r="A51" s="21" t="s">
        <v>40</v>
      </c>
      <c r="B51" s="22" t="n">
        <f aca="false">B7</f>
        <v>0</v>
      </c>
      <c r="C51" s="23"/>
      <c r="D51" s="23"/>
    </row>
    <row r="52" customFormat="false" ht="15" hidden="false" customHeight="false" outlineLevel="0" collapsed="false">
      <c r="A52" s="24" t="s">
        <v>41</v>
      </c>
      <c r="B52" s="25" t="n">
        <f aca="false">B48</f>
        <v>4071.14</v>
      </c>
      <c r="C52" s="26"/>
      <c r="D52" s="26"/>
    </row>
    <row r="53" customFormat="false" ht="15" hidden="false" customHeight="false" outlineLevel="0" collapsed="false">
      <c r="A53" s="27" t="s">
        <v>42</v>
      </c>
      <c r="B53" s="28" t="n">
        <f aca="false">B51-B52</f>
        <v>-4071.14</v>
      </c>
      <c r="C53" s="29"/>
      <c r="D53" s="29"/>
    </row>
  </sheetData>
  <mergeCells count="7">
    <mergeCell ref="A1:D1"/>
    <mergeCell ref="A3:D3"/>
    <mergeCell ref="A9:D9"/>
    <mergeCell ref="A50:D50"/>
    <mergeCell ref="C51:D51"/>
    <mergeCell ref="C52:D52"/>
    <mergeCell ref="C53:D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1" t="s">
        <v>188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6" t="s">
        <v>7</v>
      </c>
      <c r="D5" s="7" t="s">
        <v>8</v>
      </c>
    </row>
    <row r="6" customFormat="false" ht="15" hidden="false" customHeight="false" outlineLevel="0" collapsed="false">
      <c r="A6" s="8" t="s">
        <v>9</v>
      </c>
      <c r="B6" s="9"/>
      <c r="C6" s="10" t="s">
        <v>10</v>
      </c>
      <c r="D6" s="11" t="s">
        <v>8</v>
      </c>
    </row>
    <row r="7" customFormat="false" ht="15" hidden="false" customHeight="false" outlineLevel="0" collapsed="false">
      <c r="A7" s="12" t="s">
        <v>11</v>
      </c>
      <c r="B7" s="1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fals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false" outlineLevel="0" collapsed="false">
      <c r="A11" s="10" t="s">
        <v>189</v>
      </c>
      <c r="B11" s="16" t="n">
        <v>157</v>
      </c>
      <c r="C11" s="10" t="s">
        <v>14</v>
      </c>
      <c r="D11" s="10"/>
    </row>
    <row r="12" customFormat="false" ht="15" hidden="false" customHeight="false" outlineLevel="0" collapsed="false">
      <c r="A12" s="6" t="s">
        <v>190</v>
      </c>
      <c r="B12" s="17" t="n">
        <v>156.44</v>
      </c>
      <c r="C12" s="6" t="s">
        <v>14</v>
      </c>
      <c r="D12" s="6"/>
    </row>
    <row r="13" customFormat="false" ht="15" hidden="false" customHeight="false" outlineLevel="0" collapsed="false">
      <c r="A13" s="10" t="s">
        <v>191</v>
      </c>
      <c r="B13" s="16" t="n">
        <v>68.58</v>
      </c>
      <c r="C13" s="10" t="s">
        <v>14</v>
      </c>
      <c r="D13" s="10"/>
    </row>
    <row r="14" customFormat="false" ht="15" hidden="false" customHeight="false" outlineLevel="0" collapsed="false">
      <c r="A14" s="6" t="s">
        <v>192</v>
      </c>
      <c r="B14" s="17" t="n">
        <v>227.82</v>
      </c>
      <c r="C14" s="6" t="s">
        <v>14</v>
      </c>
      <c r="D14" s="6"/>
    </row>
    <row r="15" customFormat="false" ht="15" hidden="false" customHeight="false" outlineLevel="0" collapsed="false">
      <c r="A15" s="10" t="s">
        <v>193</v>
      </c>
      <c r="B15" s="16" t="n">
        <v>44.35</v>
      </c>
      <c r="C15" s="10" t="s">
        <v>14</v>
      </c>
      <c r="D15" s="10"/>
    </row>
    <row r="16" customFormat="false" ht="15" hidden="false" customHeight="false" outlineLevel="0" collapsed="false">
      <c r="A16" s="6" t="s">
        <v>194</v>
      </c>
      <c r="B16" s="17" t="n">
        <v>78.18</v>
      </c>
      <c r="C16" s="6" t="s">
        <v>7</v>
      </c>
      <c r="D16" s="6"/>
    </row>
    <row r="17" customFormat="false" ht="15" hidden="false" customHeight="false" outlineLevel="0" collapsed="false">
      <c r="A17" s="10" t="s">
        <v>195</v>
      </c>
      <c r="B17" s="16" t="n">
        <v>62.43</v>
      </c>
      <c r="C17" s="10" t="s">
        <v>7</v>
      </c>
      <c r="D17" s="10"/>
    </row>
    <row r="18" customFormat="false" ht="15" hidden="false" customHeight="false" outlineLevel="0" collapsed="false">
      <c r="A18" s="6" t="s">
        <v>196</v>
      </c>
      <c r="B18" s="17" t="n">
        <v>230.25</v>
      </c>
      <c r="C18" s="6" t="s">
        <v>14</v>
      </c>
      <c r="D18" s="6"/>
    </row>
    <row r="19" customFormat="false" ht="15" hidden="false" customHeight="false" outlineLevel="0" collapsed="false">
      <c r="A19" s="10" t="s">
        <v>197</v>
      </c>
      <c r="B19" s="16" t="n">
        <v>111.98</v>
      </c>
      <c r="C19" s="10" t="s">
        <v>7</v>
      </c>
      <c r="D19" s="10"/>
    </row>
    <row r="20" customFormat="false" ht="15" hidden="false" customHeight="false" outlineLevel="0" collapsed="false">
      <c r="A20" s="6" t="s">
        <v>198</v>
      </c>
      <c r="B20" s="17" t="n">
        <v>41.79</v>
      </c>
      <c r="C20" s="6" t="s">
        <v>14</v>
      </c>
      <c r="D20" s="6"/>
    </row>
    <row r="21" customFormat="false" ht="15" hidden="false" customHeight="false" outlineLevel="0" collapsed="false">
      <c r="A21" s="10" t="s">
        <v>199</v>
      </c>
      <c r="B21" s="16" t="n">
        <v>62.7</v>
      </c>
      <c r="C21" s="10" t="s">
        <v>10</v>
      </c>
      <c r="D21" s="10"/>
    </row>
    <row r="22" customFormat="false" ht="15" hidden="false" customHeight="false" outlineLevel="0" collapsed="false">
      <c r="A22" s="6" t="s">
        <v>18</v>
      </c>
      <c r="B22" s="17" t="n">
        <v>827.5</v>
      </c>
      <c r="C22" s="6" t="s">
        <v>14</v>
      </c>
      <c r="D22" s="6"/>
    </row>
    <row r="23" customFormat="false" ht="15" hidden="false" customHeight="false" outlineLevel="0" collapsed="false">
      <c r="A23" s="10" t="s">
        <v>16</v>
      </c>
      <c r="B23" s="16" t="n">
        <v>76.4</v>
      </c>
      <c r="C23" s="10" t="s">
        <v>14</v>
      </c>
      <c r="D23" s="10"/>
    </row>
    <row r="24" customFormat="false" ht="15" hidden="false" customHeight="false" outlineLevel="0" collapsed="false">
      <c r="A24" s="6" t="s">
        <v>17</v>
      </c>
      <c r="B24" s="17" t="n">
        <v>33.6</v>
      </c>
      <c r="C24" s="6" t="s">
        <v>14</v>
      </c>
      <c r="D24" s="6"/>
    </row>
    <row r="25" customFormat="false" ht="15" hidden="false" customHeight="false" outlineLevel="0" collapsed="false">
      <c r="A25" s="10" t="s">
        <v>200</v>
      </c>
      <c r="B25" s="16" t="n">
        <v>81.1</v>
      </c>
      <c r="C25" s="10" t="s">
        <v>14</v>
      </c>
      <c r="D25" s="10"/>
    </row>
    <row r="26" customFormat="false" ht="15" hidden="false" customHeight="false" outlineLevel="0" collapsed="false">
      <c r="A26" s="6" t="s">
        <v>201</v>
      </c>
      <c r="B26" s="17" t="n">
        <v>1.99</v>
      </c>
      <c r="C26" s="6" t="s">
        <v>14</v>
      </c>
      <c r="D26" s="6"/>
    </row>
    <row r="27" customFormat="false" ht="15" hidden="false" customHeight="false" outlineLevel="0" collapsed="false">
      <c r="A27" s="10" t="s">
        <v>172</v>
      </c>
      <c r="B27" s="16" t="n">
        <v>89.28</v>
      </c>
      <c r="C27" s="10" t="s">
        <v>14</v>
      </c>
      <c r="D27" s="10"/>
    </row>
    <row r="28" customFormat="false" ht="15" hidden="false" customHeight="false" outlineLevel="0" collapsed="false">
      <c r="A28" s="6" t="s">
        <v>169</v>
      </c>
      <c r="B28" s="17" t="n">
        <v>40.53</v>
      </c>
      <c r="C28" s="6" t="s">
        <v>14</v>
      </c>
      <c r="D28" s="6"/>
    </row>
    <row r="29" customFormat="false" ht="15" hidden="false" customHeight="false" outlineLevel="0" collapsed="false">
      <c r="A29" s="10" t="s">
        <v>186</v>
      </c>
      <c r="B29" s="16" t="n">
        <v>17.99</v>
      </c>
      <c r="C29" s="10" t="s">
        <v>14</v>
      </c>
      <c r="D29" s="10"/>
    </row>
    <row r="30" customFormat="false" ht="15" hidden="false" customHeight="false" outlineLevel="0" collapsed="false">
      <c r="A30" s="6" t="s">
        <v>67</v>
      </c>
      <c r="B30" s="17" t="n">
        <v>13</v>
      </c>
      <c r="C30" s="6" t="s">
        <v>14</v>
      </c>
      <c r="D30" s="6"/>
    </row>
    <row r="31" customFormat="false" ht="15" hidden="false" customHeight="false" outlineLevel="0" collapsed="false">
      <c r="A31" s="10" t="s">
        <v>98</v>
      </c>
      <c r="B31" s="16" t="n">
        <v>24.91</v>
      </c>
      <c r="C31" s="10" t="s">
        <v>14</v>
      </c>
      <c r="D31" s="10"/>
    </row>
    <row r="32" customFormat="false" ht="15" hidden="false" customHeight="false" outlineLevel="0" collapsed="false">
      <c r="A32" s="6" t="s">
        <v>134</v>
      </c>
      <c r="B32" s="17" t="n">
        <v>17.83</v>
      </c>
      <c r="C32" s="6" t="s">
        <v>14</v>
      </c>
      <c r="D32" s="6"/>
    </row>
    <row r="33" customFormat="false" ht="15" hidden="false" customHeight="false" outlineLevel="0" collapsed="false">
      <c r="A33" s="10" t="s">
        <v>99</v>
      </c>
      <c r="B33" s="16" t="n">
        <v>20.01</v>
      </c>
      <c r="C33" s="10" t="s">
        <v>14</v>
      </c>
      <c r="D33" s="10"/>
    </row>
    <row r="34" customFormat="false" ht="15" hidden="false" customHeight="false" outlineLevel="0" collapsed="false">
      <c r="A34" s="6" t="s">
        <v>135</v>
      </c>
      <c r="B34" s="17" t="n">
        <v>14.93</v>
      </c>
      <c r="C34" s="6" t="s">
        <v>14</v>
      </c>
      <c r="D34" s="6"/>
    </row>
    <row r="35" customFormat="false" ht="15" hidden="false" customHeight="false" outlineLevel="0" collapsed="false">
      <c r="A35" s="10" t="s">
        <v>31</v>
      </c>
      <c r="B35" s="16" t="n">
        <v>89</v>
      </c>
      <c r="C35" s="10" t="s">
        <v>14</v>
      </c>
      <c r="D35" s="10"/>
    </row>
    <row r="36" customFormat="false" ht="15" hidden="false" customHeight="false" outlineLevel="0" collapsed="false">
      <c r="A36" s="6" t="s">
        <v>33</v>
      </c>
      <c r="B36" s="17" t="n">
        <v>107.71</v>
      </c>
      <c r="C36" s="6" t="s">
        <v>14</v>
      </c>
      <c r="D36" s="6"/>
    </row>
    <row r="37" customFormat="false" ht="15" hidden="false" customHeight="false" outlineLevel="0" collapsed="false">
      <c r="A37" s="10" t="s">
        <v>123</v>
      </c>
      <c r="B37" s="16" t="n">
        <v>499.98</v>
      </c>
      <c r="C37" s="10" t="s">
        <v>7</v>
      </c>
      <c r="D37" s="10"/>
    </row>
    <row r="38" customFormat="false" ht="15" hidden="false" customHeight="false" outlineLevel="0" collapsed="false">
      <c r="A38" s="6" t="s">
        <v>202</v>
      </c>
      <c r="B38" s="17" t="n">
        <v>14.64</v>
      </c>
      <c r="C38" s="6" t="s">
        <v>14</v>
      </c>
      <c r="D38" s="6"/>
    </row>
    <row r="39" customFormat="false" ht="15" hidden="false" customHeight="false" outlineLevel="0" collapsed="false">
      <c r="A39" s="10" t="s">
        <v>104</v>
      </c>
      <c r="B39" s="16" t="n">
        <v>48.44</v>
      </c>
      <c r="C39" s="10" t="s">
        <v>7</v>
      </c>
      <c r="D39" s="10"/>
    </row>
    <row r="40" customFormat="false" ht="15" hidden="false" customHeight="false" outlineLevel="0" collapsed="false">
      <c r="A40" s="6" t="s">
        <v>105</v>
      </c>
      <c r="B40" s="17" t="n">
        <v>149.38</v>
      </c>
      <c r="C40" s="6" t="s">
        <v>10</v>
      </c>
      <c r="D40" s="6"/>
    </row>
    <row r="41" customFormat="false" ht="15" hidden="false" customHeight="false" outlineLevel="0" collapsed="false">
      <c r="A41" s="10" t="s">
        <v>50</v>
      </c>
      <c r="B41" s="16" t="n">
        <v>170</v>
      </c>
      <c r="C41" s="10" t="s">
        <v>14</v>
      </c>
      <c r="D41" s="10"/>
    </row>
    <row r="42" customFormat="false" ht="15" hidden="false" customHeight="false" outlineLevel="0" collapsed="false">
      <c r="A42" s="6" t="s">
        <v>203</v>
      </c>
      <c r="B42" s="17" t="n">
        <v>39.4</v>
      </c>
      <c r="C42" s="6" t="s">
        <v>14</v>
      </c>
      <c r="D42" s="6"/>
    </row>
    <row r="43" customFormat="false" ht="15" hidden="false" customHeight="false" outlineLevel="0" collapsed="false">
      <c r="A43" s="10" t="s">
        <v>122</v>
      </c>
      <c r="B43" s="16" t="n">
        <v>12.1</v>
      </c>
      <c r="C43" s="10" t="s">
        <v>14</v>
      </c>
      <c r="D43" s="10"/>
    </row>
    <row r="44" customFormat="false" ht="15" hidden="false" customHeight="false" outlineLevel="0" collapsed="false">
      <c r="A44" s="6" t="s">
        <v>136</v>
      </c>
      <c r="B44" s="17" t="n">
        <v>60.43</v>
      </c>
      <c r="C44" s="6" t="s">
        <v>10</v>
      </c>
      <c r="D44" s="6"/>
    </row>
    <row r="45" customFormat="false" ht="15" hidden="false" customHeight="false" outlineLevel="0" collapsed="false">
      <c r="A45" s="10"/>
      <c r="B45" s="16"/>
      <c r="C45" s="10"/>
      <c r="D45" s="10"/>
    </row>
    <row r="46" customFormat="false" ht="15" hidden="false" customHeight="false" outlineLevel="0" collapsed="false">
      <c r="A46" s="6"/>
      <c r="B46" s="17"/>
      <c r="C46" s="6"/>
      <c r="D46" s="6"/>
    </row>
    <row r="47" customFormat="false" ht="15" hidden="false" customHeight="false" outlineLevel="0" collapsed="false">
      <c r="A47" s="10"/>
      <c r="B47" s="16"/>
      <c r="C47" s="10"/>
      <c r="D47" s="10"/>
    </row>
    <row r="48" customFormat="false" ht="15" hidden="false" customHeight="false" outlineLevel="0" collapsed="false">
      <c r="A48" s="6"/>
      <c r="B48" s="17"/>
      <c r="C48" s="6"/>
      <c r="D48" s="6"/>
    </row>
    <row r="49" customFormat="false" ht="15" hidden="false" customHeight="false" outlineLevel="0" collapsed="false">
      <c r="A49" s="10"/>
      <c r="B49" s="16"/>
      <c r="C49" s="10"/>
      <c r="D49" s="10"/>
    </row>
    <row r="50" customFormat="false" ht="15" hidden="false" customHeight="false" outlineLevel="0" collapsed="false">
      <c r="A50" s="18" t="s">
        <v>38</v>
      </c>
      <c r="B50" s="19" t="n">
        <f aca="false">SUM(B11:B49)</f>
        <v>3691.67</v>
      </c>
      <c r="C50" s="18"/>
      <c r="D50" s="18"/>
    </row>
    <row r="51" customFormat="false" ht="6" hidden="false" customHeight="true" outlineLevel="0" collapsed="false"/>
    <row r="52" customFormat="false" ht="15" hidden="false" customHeight="true" outlineLevel="0" collapsed="false">
      <c r="A52" s="20" t="s">
        <v>39</v>
      </c>
      <c r="B52" s="20"/>
      <c r="C52" s="20"/>
      <c r="D52" s="20"/>
    </row>
    <row r="53" customFormat="false" ht="15" hidden="false" customHeight="false" outlineLevel="0" collapsed="false">
      <c r="A53" s="21" t="s">
        <v>40</v>
      </c>
      <c r="B53" s="22" t="n">
        <f aca="false">B7</f>
        <v>0</v>
      </c>
      <c r="C53" s="23"/>
      <c r="D53" s="23"/>
    </row>
    <row r="54" customFormat="false" ht="15" hidden="false" customHeight="false" outlineLevel="0" collapsed="false">
      <c r="A54" s="24" t="s">
        <v>41</v>
      </c>
      <c r="B54" s="25" t="n">
        <f aca="false">B50</f>
        <v>3691.67</v>
      </c>
      <c r="C54" s="26"/>
      <c r="D54" s="26"/>
    </row>
    <row r="55" customFormat="false" ht="15" hidden="false" customHeight="false" outlineLevel="0" collapsed="false">
      <c r="A55" s="27" t="s">
        <v>42</v>
      </c>
      <c r="B55" s="28" t="n">
        <f aca="false">B53-B54</f>
        <v>-3691.67</v>
      </c>
      <c r="C55" s="29"/>
      <c r="D55" s="29"/>
    </row>
  </sheetData>
  <mergeCells count="7">
    <mergeCell ref="A1:D1"/>
    <mergeCell ref="A3:D3"/>
    <mergeCell ref="A9:D9"/>
    <mergeCell ref="A52:D52"/>
    <mergeCell ref="C53:D53"/>
    <mergeCell ref="C54:D54"/>
    <mergeCell ref="C55:D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1" t="s">
        <v>204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6" t="s">
        <v>7</v>
      </c>
      <c r="D5" s="7" t="s">
        <v>8</v>
      </c>
    </row>
    <row r="6" customFormat="false" ht="15" hidden="false" customHeight="false" outlineLevel="0" collapsed="false">
      <c r="A6" s="8" t="s">
        <v>9</v>
      </c>
      <c r="B6" s="9"/>
      <c r="C6" s="10" t="s">
        <v>10</v>
      </c>
      <c r="D6" s="11" t="s">
        <v>8</v>
      </c>
    </row>
    <row r="7" customFormat="false" ht="15" hidden="false" customHeight="false" outlineLevel="0" collapsed="false">
      <c r="A7" s="12" t="s">
        <v>11</v>
      </c>
      <c r="B7" s="1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fals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false" outlineLevel="0" collapsed="false">
      <c r="A11" s="10" t="s">
        <v>122</v>
      </c>
      <c r="B11" s="16" t="n">
        <v>14.14</v>
      </c>
      <c r="C11" s="10" t="s">
        <v>14</v>
      </c>
      <c r="D11" s="10"/>
    </row>
    <row r="12" customFormat="false" ht="15" hidden="false" customHeight="false" outlineLevel="0" collapsed="false">
      <c r="A12" s="6" t="s">
        <v>205</v>
      </c>
      <c r="B12" s="17" t="n">
        <v>7</v>
      </c>
      <c r="C12" s="6" t="s">
        <v>7</v>
      </c>
      <c r="D12" s="6"/>
    </row>
    <row r="13" customFormat="false" ht="15" hidden="false" customHeight="false" outlineLevel="0" collapsed="false">
      <c r="A13" s="10" t="s">
        <v>206</v>
      </c>
      <c r="B13" s="16" t="n">
        <v>756.43</v>
      </c>
      <c r="C13" s="10" t="s">
        <v>14</v>
      </c>
      <c r="D13" s="10"/>
    </row>
    <row r="14" customFormat="false" ht="15" hidden="false" customHeight="false" outlineLevel="0" collapsed="false">
      <c r="A14" s="6" t="s">
        <v>123</v>
      </c>
      <c r="B14" s="17" t="n">
        <v>421.41</v>
      </c>
      <c r="C14" s="6" t="s">
        <v>7</v>
      </c>
      <c r="D14" s="6"/>
    </row>
    <row r="15" customFormat="false" ht="15" hidden="false" customHeight="false" outlineLevel="0" collapsed="false">
      <c r="A15" s="10" t="s">
        <v>207</v>
      </c>
      <c r="B15" s="16" t="n">
        <v>30.8</v>
      </c>
      <c r="C15" s="10" t="s">
        <v>14</v>
      </c>
      <c r="D15" s="10"/>
    </row>
    <row r="16" customFormat="false" ht="15" hidden="false" customHeight="false" outlineLevel="0" collapsed="false">
      <c r="A16" s="6" t="s">
        <v>208</v>
      </c>
      <c r="B16" s="17" t="n">
        <v>40.55</v>
      </c>
      <c r="C16" s="6" t="s">
        <v>14</v>
      </c>
      <c r="D16" s="6"/>
    </row>
    <row r="17" customFormat="false" ht="15" hidden="false" customHeight="false" outlineLevel="0" collapsed="false">
      <c r="A17" s="10" t="s">
        <v>209</v>
      </c>
      <c r="B17" s="16" t="n">
        <v>54.12</v>
      </c>
      <c r="C17" s="10" t="s">
        <v>14</v>
      </c>
      <c r="D17" s="10"/>
    </row>
    <row r="18" customFormat="false" ht="15" hidden="false" customHeight="false" outlineLevel="0" collapsed="false">
      <c r="A18" s="6" t="s">
        <v>210</v>
      </c>
      <c r="B18" s="17" t="n">
        <v>227.82</v>
      </c>
      <c r="C18" s="6" t="s">
        <v>14</v>
      </c>
      <c r="D18" s="6"/>
    </row>
    <row r="19" customFormat="false" ht="15" hidden="false" customHeight="false" outlineLevel="0" collapsed="false">
      <c r="A19" s="10" t="s">
        <v>211</v>
      </c>
      <c r="B19" s="16" t="n">
        <v>44.35</v>
      </c>
      <c r="C19" s="10" t="s">
        <v>14</v>
      </c>
      <c r="D19" s="10"/>
    </row>
    <row r="20" customFormat="false" ht="15" hidden="false" customHeight="false" outlineLevel="0" collapsed="false">
      <c r="A20" s="6" t="s">
        <v>212</v>
      </c>
      <c r="B20" s="17" t="n">
        <v>78.18</v>
      </c>
      <c r="C20" s="6" t="s">
        <v>7</v>
      </c>
      <c r="D20" s="6"/>
    </row>
    <row r="21" customFormat="false" ht="15" hidden="false" customHeight="false" outlineLevel="0" collapsed="false">
      <c r="A21" s="10" t="s">
        <v>213</v>
      </c>
      <c r="B21" s="16" t="n">
        <v>62.43</v>
      </c>
      <c r="C21" s="10" t="s">
        <v>7</v>
      </c>
      <c r="D21" s="10"/>
    </row>
    <row r="22" customFormat="false" ht="15" hidden="false" customHeight="false" outlineLevel="0" collapsed="false">
      <c r="A22" s="6" t="s">
        <v>214</v>
      </c>
      <c r="B22" s="17" t="n">
        <v>230.25</v>
      </c>
      <c r="C22" s="6" t="s">
        <v>14</v>
      </c>
      <c r="D22" s="6"/>
    </row>
    <row r="23" customFormat="false" ht="15" hidden="false" customHeight="false" outlineLevel="0" collapsed="false">
      <c r="A23" s="10" t="s">
        <v>215</v>
      </c>
      <c r="B23" s="16" t="n">
        <v>111.98</v>
      </c>
      <c r="C23" s="10" t="s">
        <v>7</v>
      </c>
      <c r="D23" s="10"/>
    </row>
    <row r="24" customFormat="false" ht="15" hidden="false" customHeight="false" outlineLevel="0" collapsed="false">
      <c r="A24" s="6" t="s">
        <v>216</v>
      </c>
      <c r="B24" s="17" t="n">
        <v>41.79</v>
      </c>
      <c r="C24" s="6" t="s">
        <v>14</v>
      </c>
      <c r="D24" s="6"/>
    </row>
    <row r="25" customFormat="false" ht="15" hidden="false" customHeight="false" outlineLevel="0" collapsed="false">
      <c r="A25" s="10" t="s">
        <v>199</v>
      </c>
      <c r="B25" s="16" t="n">
        <v>62.7</v>
      </c>
      <c r="C25" s="10" t="s">
        <v>10</v>
      </c>
      <c r="D25" s="10"/>
    </row>
    <row r="26" customFormat="false" ht="15" hidden="false" customHeight="false" outlineLevel="0" collapsed="false">
      <c r="A26" s="6" t="s">
        <v>18</v>
      </c>
      <c r="B26" s="17" t="n">
        <v>827.5</v>
      </c>
      <c r="C26" s="6" t="s">
        <v>14</v>
      </c>
      <c r="D26" s="6"/>
    </row>
    <row r="27" customFormat="false" ht="15" hidden="false" customHeight="false" outlineLevel="0" collapsed="false">
      <c r="A27" s="10" t="s">
        <v>16</v>
      </c>
      <c r="B27" s="16" t="n">
        <v>76.4</v>
      </c>
      <c r="C27" s="10" t="s">
        <v>14</v>
      </c>
      <c r="D27" s="10"/>
    </row>
    <row r="28" customFormat="false" ht="15" hidden="false" customHeight="false" outlineLevel="0" collapsed="false">
      <c r="A28" s="6" t="s">
        <v>17</v>
      </c>
      <c r="B28" s="17" t="n">
        <v>33.6</v>
      </c>
      <c r="C28" s="6" t="s">
        <v>14</v>
      </c>
      <c r="D28" s="6"/>
    </row>
    <row r="29" customFormat="false" ht="15" hidden="false" customHeight="false" outlineLevel="0" collapsed="false">
      <c r="A29" s="10" t="s">
        <v>217</v>
      </c>
      <c r="B29" s="16" t="n">
        <v>90</v>
      </c>
      <c r="C29" s="10" t="s">
        <v>10</v>
      </c>
      <c r="D29" s="10"/>
    </row>
    <row r="30" customFormat="false" ht="15" hidden="false" customHeight="false" outlineLevel="0" collapsed="false">
      <c r="A30" s="6" t="s">
        <v>168</v>
      </c>
      <c r="B30" s="17" t="n">
        <v>30</v>
      </c>
      <c r="C30" s="6" t="s">
        <v>7</v>
      </c>
      <c r="D30" s="6"/>
    </row>
    <row r="31" customFormat="false" ht="15" hidden="false" customHeight="false" outlineLevel="0" collapsed="false">
      <c r="A31" s="10" t="s">
        <v>172</v>
      </c>
      <c r="B31" s="16" t="n">
        <v>89.28</v>
      </c>
      <c r="C31" s="10" t="s">
        <v>14</v>
      </c>
      <c r="D31" s="10"/>
    </row>
    <row r="32" customFormat="false" ht="15" hidden="false" customHeight="false" outlineLevel="0" collapsed="false">
      <c r="A32" s="6" t="s">
        <v>186</v>
      </c>
      <c r="B32" s="17" t="n">
        <v>18</v>
      </c>
      <c r="C32" s="6" t="s">
        <v>14</v>
      </c>
      <c r="D32" s="6"/>
    </row>
    <row r="33" customFormat="false" ht="15" hidden="false" customHeight="false" outlineLevel="0" collapsed="false">
      <c r="A33" s="10" t="s">
        <v>67</v>
      </c>
      <c r="B33" s="16" t="n">
        <v>13</v>
      </c>
      <c r="C33" s="10" t="s">
        <v>14</v>
      </c>
      <c r="D33" s="10"/>
    </row>
    <row r="34" customFormat="false" ht="15" hidden="false" customHeight="false" outlineLevel="0" collapsed="false">
      <c r="A34" s="6" t="s">
        <v>151</v>
      </c>
      <c r="B34" s="17" t="n">
        <v>29.57</v>
      </c>
      <c r="C34" s="6" t="s">
        <v>10</v>
      </c>
      <c r="D34" s="6"/>
    </row>
    <row r="35" customFormat="false" ht="15" hidden="false" customHeight="false" outlineLevel="0" collapsed="false">
      <c r="A35" s="10" t="s">
        <v>134</v>
      </c>
      <c r="B35" s="16" t="n">
        <v>17.83</v>
      </c>
      <c r="C35" s="10" t="s">
        <v>14</v>
      </c>
      <c r="D35" s="10"/>
    </row>
    <row r="36" customFormat="false" ht="15" hidden="false" customHeight="false" outlineLevel="0" collapsed="false">
      <c r="A36" s="6" t="s">
        <v>150</v>
      </c>
      <c r="B36" s="17" t="n">
        <v>17.05</v>
      </c>
      <c r="C36" s="6" t="s">
        <v>7</v>
      </c>
      <c r="D36" s="6"/>
    </row>
    <row r="37" customFormat="false" ht="15" hidden="false" customHeight="false" outlineLevel="0" collapsed="false">
      <c r="A37" s="10" t="s">
        <v>135</v>
      </c>
      <c r="B37" s="16" t="n">
        <v>14.93</v>
      </c>
      <c r="C37" s="10" t="s">
        <v>14</v>
      </c>
      <c r="D37" s="10"/>
    </row>
    <row r="38" customFormat="false" ht="15" hidden="false" customHeight="false" outlineLevel="0" collapsed="false">
      <c r="A38" s="6" t="s">
        <v>31</v>
      </c>
      <c r="B38" s="17" t="n">
        <v>89.75</v>
      </c>
      <c r="C38" s="6" t="s">
        <v>14</v>
      </c>
      <c r="D38" s="6"/>
    </row>
    <row r="39" customFormat="false" ht="15" hidden="false" customHeight="false" outlineLevel="0" collapsed="false">
      <c r="A39" s="10" t="s">
        <v>33</v>
      </c>
      <c r="B39" s="16" t="n">
        <v>73.75</v>
      </c>
      <c r="C39" s="10" t="s">
        <v>14</v>
      </c>
      <c r="D39" s="10"/>
    </row>
    <row r="40" customFormat="false" ht="15" hidden="false" customHeight="false" outlineLevel="0" collapsed="false">
      <c r="A40" s="6" t="s">
        <v>50</v>
      </c>
      <c r="B40" s="17" t="n">
        <v>170</v>
      </c>
      <c r="C40" s="6" t="s">
        <v>14</v>
      </c>
      <c r="D40" s="6"/>
    </row>
    <row r="41" customFormat="false" ht="15" hidden="false" customHeight="false" outlineLevel="0" collapsed="false">
      <c r="A41" s="10" t="s">
        <v>218</v>
      </c>
      <c r="B41" s="16" t="n">
        <v>67.2</v>
      </c>
      <c r="C41" s="10" t="s">
        <v>14</v>
      </c>
      <c r="D41" s="10"/>
    </row>
    <row r="42" customFormat="false" ht="15" hidden="false" customHeight="false" outlineLevel="0" collapsed="false">
      <c r="A42" s="6" t="s">
        <v>136</v>
      </c>
      <c r="B42" s="17" t="n">
        <v>133.44</v>
      </c>
      <c r="C42" s="6" t="s">
        <v>10</v>
      </c>
      <c r="D42" s="6"/>
    </row>
    <row r="43" customFormat="false" ht="15" hidden="false" customHeight="false" outlineLevel="0" collapsed="false">
      <c r="A43" s="10" t="s">
        <v>104</v>
      </c>
      <c r="B43" s="16" t="n">
        <v>150</v>
      </c>
      <c r="C43" s="10" t="s">
        <v>7</v>
      </c>
      <c r="D43" s="10"/>
    </row>
    <row r="44" customFormat="false" ht="15" hidden="false" customHeight="false" outlineLevel="0" collapsed="false">
      <c r="A44" s="6" t="s">
        <v>105</v>
      </c>
      <c r="B44" s="17" t="n">
        <v>5.38</v>
      </c>
      <c r="C44" s="6" t="s">
        <v>10</v>
      </c>
      <c r="D44" s="6"/>
    </row>
    <row r="45" customFormat="false" ht="15" hidden="false" customHeight="false" outlineLevel="0" collapsed="false">
      <c r="A45" s="10" t="s">
        <v>219</v>
      </c>
      <c r="B45" s="16" t="n">
        <v>81.1</v>
      </c>
      <c r="C45" s="10" t="s">
        <v>14</v>
      </c>
      <c r="D45" s="10"/>
    </row>
    <row r="46" customFormat="false" ht="15" hidden="false" customHeight="false" outlineLevel="0" collapsed="false">
      <c r="A46" s="6" t="s">
        <v>220</v>
      </c>
      <c r="B46" s="17" t="n">
        <v>148.48</v>
      </c>
      <c r="C46" s="6" t="s">
        <v>14</v>
      </c>
      <c r="D46" s="6"/>
    </row>
    <row r="47" customFormat="false" ht="15" hidden="false" customHeight="false" outlineLevel="0" collapsed="false">
      <c r="A47" s="10" t="s">
        <v>221</v>
      </c>
      <c r="B47" s="16" t="n">
        <v>15</v>
      </c>
      <c r="C47" s="10" t="s">
        <v>14</v>
      </c>
      <c r="D47" s="10"/>
    </row>
    <row r="48" customFormat="false" ht="15" hidden="false" customHeight="false" outlineLevel="0" collapsed="false">
      <c r="A48" s="6" t="s">
        <v>222</v>
      </c>
      <c r="B48" s="17" t="n">
        <v>41.2</v>
      </c>
      <c r="C48" s="6" t="s">
        <v>14</v>
      </c>
      <c r="D48" s="6"/>
    </row>
    <row r="49" customFormat="false" ht="15" hidden="false" customHeight="false" outlineLevel="0" collapsed="false">
      <c r="A49" s="10" t="s">
        <v>223</v>
      </c>
      <c r="B49" s="16" t="n">
        <v>65</v>
      </c>
      <c r="C49" s="10" t="s">
        <v>10</v>
      </c>
      <c r="D49" s="10"/>
    </row>
    <row r="50" customFormat="false" ht="15" hidden="false" customHeight="false" outlineLevel="0" collapsed="false">
      <c r="A50" s="6" t="s">
        <v>201</v>
      </c>
      <c r="B50" s="17" t="n">
        <v>7.99</v>
      </c>
      <c r="C50" s="6" t="s">
        <v>14</v>
      </c>
      <c r="D50" s="6"/>
    </row>
    <row r="51" customFormat="false" ht="15" hidden="false" customHeight="false" outlineLevel="0" collapsed="false">
      <c r="A51" s="10" t="s">
        <v>88</v>
      </c>
      <c r="B51" s="16" t="n">
        <v>4.13</v>
      </c>
      <c r="C51" s="10" t="s">
        <v>14</v>
      </c>
      <c r="D51" s="10"/>
    </row>
    <row r="52" customFormat="false" ht="15" hidden="false" customHeight="false" outlineLevel="0" collapsed="false">
      <c r="A52" s="6"/>
      <c r="B52" s="17"/>
      <c r="C52" s="6"/>
      <c r="D52" s="6"/>
    </row>
    <row r="53" customFormat="false" ht="15" hidden="false" customHeight="false" outlineLevel="0" collapsed="false">
      <c r="A53" s="10"/>
      <c r="B53" s="16"/>
      <c r="C53" s="10"/>
      <c r="D53" s="10"/>
    </row>
    <row r="54" customFormat="false" ht="15" hidden="false" customHeight="false" outlineLevel="0" collapsed="false">
      <c r="A54" s="6"/>
      <c r="B54" s="17"/>
      <c r="C54" s="6"/>
      <c r="D54" s="6"/>
    </row>
    <row r="55" customFormat="false" ht="15" hidden="false" customHeight="false" outlineLevel="0" collapsed="false">
      <c r="A55" s="10"/>
      <c r="B55" s="16"/>
      <c r="C55" s="10"/>
      <c r="D55" s="10"/>
    </row>
    <row r="56" customFormat="false" ht="15" hidden="false" customHeight="false" outlineLevel="0" collapsed="false">
      <c r="A56" s="6"/>
      <c r="B56" s="17"/>
      <c r="C56" s="6"/>
      <c r="D56" s="6"/>
    </row>
    <row r="57" customFormat="false" ht="15" hidden="false" customHeight="false" outlineLevel="0" collapsed="false">
      <c r="A57" s="18" t="s">
        <v>38</v>
      </c>
      <c r="B57" s="19" t="n">
        <f aca="false">SUM(B11:B56)</f>
        <v>4493.53</v>
      </c>
      <c r="C57" s="18"/>
      <c r="D57" s="18"/>
    </row>
    <row r="58" customFormat="false" ht="6" hidden="false" customHeight="true" outlineLevel="0" collapsed="false"/>
    <row r="59" customFormat="false" ht="15" hidden="false" customHeight="true" outlineLevel="0" collapsed="false">
      <c r="A59" s="20" t="s">
        <v>39</v>
      </c>
      <c r="B59" s="20"/>
      <c r="C59" s="20"/>
      <c r="D59" s="20"/>
    </row>
    <row r="60" customFormat="false" ht="15" hidden="false" customHeight="false" outlineLevel="0" collapsed="false">
      <c r="A60" s="21" t="s">
        <v>40</v>
      </c>
      <c r="B60" s="22" t="n">
        <f aca="false">B7</f>
        <v>0</v>
      </c>
      <c r="C60" s="23"/>
      <c r="D60" s="23"/>
    </row>
    <row r="61" customFormat="false" ht="15" hidden="false" customHeight="false" outlineLevel="0" collapsed="false">
      <c r="A61" s="24" t="s">
        <v>41</v>
      </c>
      <c r="B61" s="25" t="n">
        <f aca="false">B57</f>
        <v>4493.53</v>
      </c>
      <c r="C61" s="26"/>
      <c r="D61" s="26"/>
    </row>
    <row r="62" customFormat="false" ht="15" hidden="false" customHeight="false" outlineLevel="0" collapsed="false">
      <c r="A62" s="27" t="s">
        <v>42</v>
      </c>
      <c r="B62" s="28" t="n">
        <f aca="false">B60-B61</f>
        <v>-4493.53</v>
      </c>
      <c r="C62" s="29"/>
      <c r="D62" s="29"/>
    </row>
  </sheetData>
  <mergeCells count="7">
    <mergeCell ref="A1:D1"/>
    <mergeCell ref="A3:D3"/>
    <mergeCell ref="A9:D9"/>
    <mergeCell ref="A59:D59"/>
    <mergeCell ref="C60:D60"/>
    <mergeCell ref="C61:D61"/>
    <mergeCell ref="C62:D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1" t="s">
        <v>224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6" t="s">
        <v>7</v>
      </c>
      <c r="D5" s="7" t="s">
        <v>8</v>
      </c>
    </row>
    <row r="6" customFormat="false" ht="15" hidden="false" customHeight="false" outlineLevel="0" collapsed="false">
      <c r="A6" s="8" t="s">
        <v>9</v>
      </c>
      <c r="B6" s="9"/>
      <c r="C6" s="10" t="s">
        <v>10</v>
      </c>
      <c r="D6" s="11" t="s">
        <v>8</v>
      </c>
    </row>
    <row r="7" customFormat="false" ht="15" hidden="false" customHeight="false" outlineLevel="0" collapsed="false">
      <c r="A7" s="12" t="s">
        <v>11</v>
      </c>
      <c r="B7" s="1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fals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false" outlineLevel="0" collapsed="false">
      <c r="A11" s="10" t="s">
        <v>225</v>
      </c>
      <c r="B11" s="16" t="n">
        <v>7</v>
      </c>
      <c r="C11" s="10" t="s">
        <v>7</v>
      </c>
      <c r="D11" s="10"/>
    </row>
    <row r="12" customFormat="false" ht="15" hidden="false" customHeight="false" outlineLevel="0" collapsed="false">
      <c r="A12" s="6" t="s">
        <v>226</v>
      </c>
      <c r="B12" s="17" t="n">
        <v>54.12</v>
      </c>
      <c r="C12" s="6" t="s">
        <v>14</v>
      </c>
      <c r="D12" s="6"/>
    </row>
    <row r="13" customFormat="false" ht="15" hidden="false" customHeight="false" outlineLevel="0" collapsed="false">
      <c r="A13" s="10" t="s">
        <v>227</v>
      </c>
      <c r="B13" s="16" t="n">
        <v>44.35</v>
      </c>
      <c r="C13" s="10" t="s">
        <v>14</v>
      </c>
      <c r="D13" s="10"/>
    </row>
    <row r="14" customFormat="false" ht="15" hidden="false" customHeight="false" outlineLevel="0" collapsed="false">
      <c r="A14" s="6" t="s">
        <v>228</v>
      </c>
      <c r="B14" s="17" t="n">
        <v>78.18</v>
      </c>
      <c r="C14" s="6" t="s">
        <v>7</v>
      </c>
      <c r="D14" s="6"/>
    </row>
    <row r="15" customFormat="false" ht="15" hidden="false" customHeight="false" outlineLevel="0" collapsed="false">
      <c r="A15" s="10" t="s">
        <v>229</v>
      </c>
      <c r="B15" s="16" t="n">
        <v>62.13</v>
      </c>
      <c r="C15" s="10" t="s">
        <v>7</v>
      </c>
      <c r="D15" s="10"/>
    </row>
    <row r="16" customFormat="false" ht="15" hidden="false" customHeight="false" outlineLevel="0" collapsed="false">
      <c r="A16" s="6" t="s">
        <v>230</v>
      </c>
      <c r="B16" s="17" t="n">
        <v>230.25</v>
      </c>
      <c r="C16" s="6" t="s">
        <v>14</v>
      </c>
      <c r="D16" s="6"/>
    </row>
    <row r="17" customFormat="false" ht="15" hidden="false" customHeight="false" outlineLevel="0" collapsed="false">
      <c r="A17" s="10" t="s">
        <v>231</v>
      </c>
      <c r="B17" s="16" t="n">
        <v>111.98</v>
      </c>
      <c r="C17" s="10" t="s">
        <v>7</v>
      </c>
      <c r="D17" s="10"/>
    </row>
    <row r="18" customFormat="false" ht="15" hidden="false" customHeight="false" outlineLevel="0" collapsed="false">
      <c r="A18" s="6" t="s">
        <v>232</v>
      </c>
      <c r="B18" s="17" t="n">
        <v>41.79</v>
      </c>
      <c r="C18" s="6" t="s">
        <v>14</v>
      </c>
      <c r="D18" s="6"/>
    </row>
    <row r="19" customFormat="false" ht="15" hidden="false" customHeight="false" outlineLevel="0" collapsed="false">
      <c r="A19" s="10" t="s">
        <v>233</v>
      </c>
      <c r="B19" s="16" t="n">
        <v>227.82</v>
      </c>
      <c r="C19" s="10" t="s">
        <v>14</v>
      </c>
      <c r="D19" s="10"/>
    </row>
    <row r="20" customFormat="false" ht="15" hidden="false" customHeight="false" outlineLevel="0" collapsed="false">
      <c r="A20" s="6" t="s">
        <v>140</v>
      </c>
      <c r="B20" s="17" t="n">
        <v>62.7</v>
      </c>
      <c r="C20" s="6" t="s">
        <v>14</v>
      </c>
      <c r="D20" s="6"/>
    </row>
    <row r="21" customFormat="false" ht="15" hidden="false" customHeight="false" outlineLevel="0" collapsed="false">
      <c r="A21" s="10" t="s">
        <v>18</v>
      </c>
      <c r="B21" s="16" t="n">
        <v>827.5</v>
      </c>
      <c r="C21" s="10" t="s">
        <v>14</v>
      </c>
      <c r="D21" s="10"/>
    </row>
    <row r="22" customFormat="false" ht="15" hidden="false" customHeight="false" outlineLevel="0" collapsed="false">
      <c r="A22" s="6" t="s">
        <v>16</v>
      </c>
      <c r="B22" s="17" t="n">
        <v>76.4</v>
      </c>
      <c r="C22" s="6" t="s">
        <v>14</v>
      </c>
      <c r="D22" s="6"/>
    </row>
    <row r="23" customFormat="false" ht="15" hidden="false" customHeight="false" outlineLevel="0" collapsed="false">
      <c r="A23" s="10" t="s">
        <v>17</v>
      </c>
      <c r="B23" s="16" t="n">
        <v>33.6</v>
      </c>
      <c r="C23" s="10" t="s">
        <v>14</v>
      </c>
      <c r="D23" s="10"/>
    </row>
    <row r="24" customFormat="false" ht="15" hidden="false" customHeight="false" outlineLevel="0" collapsed="false">
      <c r="A24" s="6" t="s">
        <v>234</v>
      </c>
      <c r="B24" s="17" t="n">
        <v>30</v>
      </c>
      <c r="C24" s="6" t="s">
        <v>10</v>
      </c>
      <c r="D24" s="6"/>
    </row>
    <row r="25" customFormat="false" ht="15" hidden="false" customHeight="false" outlineLevel="0" collapsed="false">
      <c r="A25" s="10" t="s">
        <v>235</v>
      </c>
      <c r="B25" s="16" t="n">
        <v>30</v>
      </c>
      <c r="C25" s="10" t="s">
        <v>7</v>
      </c>
      <c r="D25" s="10"/>
    </row>
    <row r="26" customFormat="false" ht="15" hidden="false" customHeight="false" outlineLevel="0" collapsed="false">
      <c r="A26" s="6" t="s">
        <v>172</v>
      </c>
      <c r="B26" s="17" t="n">
        <v>89.28</v>
      </c>
      <c r="C26" s="6" t="s">
        <v>14</v>
      </c>
      <c r="D26" s="6"/>
    </row>
    <row r="27" customFormat="false" ht="15" hidden="false" customHeight="false" outlineLevel="0" collapsed="false">
      <c r="A27" s="10" t="s">
        <v>186</v>
      </c>
      <c r="B27" s="16" t="n">
        <v>18</v>
      </c>
      <c r="C27" s="10" t="s">
        <v>14</v>
      </c>
      <c r="D27" s="10"/>
    </row>
    <row r="28" customFormat="false" ht="15" hidden="false" customHeight="false" outlineLevel="0" collapsed="false">
      <c r="A28" s="6" t="s">
        <v>67</v>
      </c>
      <c r="B28" s="17" t="n">
        <v>13</v>
      </c>
      <c r="C28" s="6" t="s">
        <v>14</v>
      </c>
      <c r="D28" s="6"/>
    </row>
    <row r="29" customFormat="false" ht="15" hidden="false" customHeight="false" outlineLevel="0" collapsed="false">
      <c r="A29" s="10" t="s">
        <v>31</v>
      </c>
      <c r="B29" s="16" t="n">
        <v>73.55</v>
      </c>
      <c r="C29" s="10" t="s">
        <v>14</v>
      </c>
      <c r="D29" s="10"/>
    </row>
    <row r="30" customFormat="false" ht="15" hidden="false" customHeight="false" outlineLevel="0" collapsed="false">
      <c r="A30" s="6" t="s">
        <v>33</v>
      </c>
      <c r="B30" s="17" t="n">
        <v>88</v>
      </c>
      <c r="C30" s="6" t="s">
        <v>14</v>
      </c>
      <c r="D30" s="6"/>
    </row>
    <row r="31" customFormat="false" ht="15" hidden="false" customHeight="false" outlineLevel="0" collapsed="false">
      <c r="A31" s="10" t="s">
        <v>236</v>
      </c>
      <c r="B31" s="16" t="n">
        <v>30</v>
      </c>
      <c r="C31" s="10" t="s">
        <v>7</v>
      </c>
      <c r="D31" s="10"/>
    </row>
    <row r="32" customFormat="false" ht="15" hidden="false" customHeight="false" outlineLevel="0" collapsed="false">
      <c r="A32" s="6" t="s">
        <v>237</v>
      </c>
      <c r="B32" s="17" t="n">
        <v>81.1</v>
      </c>
      <c r="C32" s="6" t="s">
        <v>14</v>
      </c>
      <c r="D32" s="6"/>
    </row>
    <row r="33" customFormat="false" ht="15" hidden="false" customHeight="false" outlineLevel="0" collapsed="false">
      <c r="A33" s="10" t="s">
        <v>238</v>
      </c>
      <c r="B33" s="16" t="n">
        <v>148</v>
      </c>
      <c r="C33" s="10" t="s">
        <v>14</v>
      </c>
      <c r="D33" s="10"/>
    </row>
    <row r="34" customFormat="false" ht="15" hidden="false" customHeight="false" outlineLevel="0" collapsed="false">
      <c r="A34" s="6" t="s">
        <v>50</v>
      </c>
      <c r="B34" s="17" t="n">
        <v>170</v>
      </c>
      <c r="C34" s="6" t="s">
        <v>14</v>
      </c>
      <c r="D34" s="6"/>
    </row>
    <row r="35" customFormat="false" ht="15" hidden="false" customHeight="false" outlineLevel="0" collapsed="false">
      <c r="A35" s="10" t="s">
        <v>218</v>
      </c>
      <c r="B35" s="16" t="n">
        <v>115.8</v>
      </c>
      <c r="C35" s="10" t="s">
        <v>14</v>
      </c>
      <c r="D35" s="10"/>
    </row>
    <row r="36" customFormat="false" ht="15" hidden="false" customHeight="false" outlineLevel="0" collapsed="false">
      <c r="A36" s="6" t="s">
        <v>123</v>
      </c>
      <c r="B36" s="17" t="n">
        <v>463.61</v>
      </c>
      <c r="C36" s="6" t="s">
        <v>7</v>
      </c>
      <c r="D36" s="6"/>
    </row>
    <row r="37" customFormat="false" ht="15" hidden="false" customHeight="false" outlineLevel="0" collapsed="false">
      <c r="A37" s="10" t="s">
        <v>122</v>
      </c>
      <c r="B37" s="16" t="n">
        <v>16.05</v>
      </c>
      <c r="C37" s="10" t="s">
        <v>14</v>
      </c>
      <c r="D37" s="10"/>
    </row>
    <row r="38" customFormat="false" ht="15" hidden="false" customHeight="false" outlineLevel="0" collapsed="false">
      <c r="A38" s="6" t="s">
        <v>104</v>
      </c>
      <c r="B38" s="17" t="n">
        <v>150</v>
      </c>
      <c r="C38" s="6" t="s">
        <v>7</v>
      </c>
      <c r="D38" s="6"/>
    </row>
    <row r="39" customFormat="false" ht="15" hidden="false" customHeight="false" outlineLevel="0" collapsed="false">
      <c r="A39" s="10" t="s">
        <v>105</v>
      </c>
      <c r="B39" s="16" t="n">
        <v>112.16</v>
      </c>
      <c r="C39" s="10" t="s">
        <v>10</v>
      </c>
      <c r="D39" s="10"/>
    </row>
    <row r="40" customFormat="false" ht="15" hidden="false" customHeight="false" outlineLevel="0" collapsed="false">
      <c r="A40" s="6" t="s">
        <v>98</v>
      </c>
      <c r="B40" s="17" t="n">
        <v>21.9</v>
      </c>
      <c r="C40" s="6" t="s">
        <v>14</v>
      </c>
      <c r="D40" s="6"/>
    </row>
    <row r="41" customFormat="false" ht="15" hidden="false" customHeight="false" outlineLevel="0" collapsed="false">
      <c r="A41" s="10" t="s">
        <v>134</v>
      </c>
      <c r="B41" s="16" t="n">
        <v>17.83</v>
      </c>
      <c r="C41" s="10" t="s">
        <v>14</v>
      </c>
      <c r="D41" s="10"/>
    </row>
    <row r="42" customFormat="false" ht="15" hidden="false" customHeight="false" outlineLevel="0" collapsed="false">
      <c r="A42" s="6" t="s">
        <v>99</v>
      </c>
      <c r="B42" s="17" t="n">
        <v>17.05</v>
      </c>
      <c r="C42" s="6" t="s">
        <v>14</v>
      </c>
      <c r="D42" s="6"/>
    </row>
    <row r="43" customFormat="false" ht="15" hidden="false" customHeight="false" outlineLevel="0" collapsed="false">
      <c r="A43" s="10" t="s">
        <v>135</v>
      </c>
      <c r="B43" s="16" t="n">
        <v>14.93</v>
      </c>
      <c r="C43" s="10" t="s">
        <v>14</v>
      </c>
      <c r="D43" s="10"/>
    </row>
    <row r="44" customFormat="false" ht="15" hidden="false" customHeight="false" outlineLevel="0" collapsed="false">
      <c r="A44" s="6" t="s">
        <v>239</v>
      </c>
      <c r="B44" s="17" t="n">
        <v>50</v>
      </c>
      <c r="C44" s="6" t="s">
        <v>14</v>
      </c>
      <c r="D44" s="6"/>
    </row>
    <row r="45" customFormat="false" ht="15" hidden="false" customHeight="false" outlineLevel="0" collapsed="false">
      <c r="A45" s="10" t="s">
        <v>240</v>
      </c>
      <c r="B45" s="16" t="n">
        <v>50</v>
      </c>
      <c r="C45" s="10" t="s">
        <v>14</v>
      </c>
      <c r="D45" s="10"/>
    </row>
    <row r="46" customFormat="false" ht="15" hidden="false" customHeight="false" outlineLevel="0" collapsed="false">
      <c r="A46" s="6" t="s">
        <v>201</v>
      </c>
      <c r="B46" s="17" t="n">
        <v>1.99</v>
      </c>
      <c r="C46" s="6" t="s">
        <v>14</v>
      </c>
      <c r="D46" s="6" t="s">
        <v>241</v>
      </c>
    </row>
    <row r="47" customFormat="false" ht="15" hidden="false" customHeight="false" outlineLevel="0" collapsed="false">
      <c r="A47" s="10" t="s">
        <v>153</v>
      </c>
      <c r="B47" s="16" t="n">
        <v>27.28</v>
      </c>
      <c r="C47" s="10" t="s">
        <v>14</v>
      </c>
      <c r="D47" s="10"/>
    </row>
    <row r="48" customFormat="false" ht="15" hidden="false" customHeight="false" outlineLevel="0" collapsed="false">
      <c r="A48" s="6"/>
      <c r="B48" s="17"/>
      <c r="C48" s="6"/>
      <c r="D48" s="6"/>
    </row>
    <row r="49" customFormat="false" ht="15" hidden="false" customHeight="false" outlineLevel="0" collapsed="false">
      <c r="A49" s="10"/>
      <c r="B49" s="16"/>
      <c r="C49" s="10"/>
      <c r="D49" s="10"/>
    </row>
    <row r="50" customFormat="false" ht="15" hidden="false" customHeight="false" outlineLevel="0" collapsed="false">
      <c r="A50" s="6"/>
      <c r="B50" s="17"/>
      <c r="C50" s="6"/>
      <c r="D50" s="6"/>
    </row>
    <row r="51" customFormat="false" ht="15" hidden="false" customHeight="false" outlineLevel="0" collapsed="false">
      <c r="A51" s="10"/>
      <c r="B51" s="16"/>
      <c r="C51" s="10"/>
      <c r="D51" s="10"/>
    </row>
    <row r="52" customFormat="false" ht="15" hidden="false" customHeight="false" outlineLevel="0" collapsed="false">
      <c r="A52" s="6"/>
      <c r="B52" s="17"/>
      <c r="C52" s="6"/>
      <c r="D52" s="6"/>
    </row>
    <row r="53" customFormat="false" ht="15" hidden="false" customHeight="false" outlineLevel="0" collapsed="false">
      <c r="A53" s="18" t="s">
        <v>38</v>
      </c>
      <c r="B53" s="19" t="n">
        <f aca="false">SUM(B11:B52)</f>
        <v>3687.35</v>
      </c>
      <c r="C53" s="18"/>
      <c r="D53" s="18"/>
    </row>
    <row r="54" customFormat="false" ht="6" hidden="false" customHeight="true" outlineLevel="0" collapsed="false"/>
    <row r="55" customFormat="false" ht="15" hidden="false" customHeight="true" outlineLevel="0" collapsed="false">
      <c r="A55" s="20" t="s">
        <v>39</v>
      </c>
      <c r="B55" s="20"/>
      <c r="C55" s="20"/>
      <c r="D55" s="20"/>
    </row>
    <row r="56" customFormat="false" ht="15" hidden="false" customHeight="false" outlineLevel="0" collapsed="false">
      <c r="A56" s="21" t="s">
        <v>40</v>
      </c>
      <c r="B56" s="22" t="n">
        <f aca="false">B7</f>
        <v>0</v>
      </c>
      <c r="C56" s="23"/>
      <c r="D56" s="23"/>
    </row>
    <row r="57" customFormat="false" ht="15" hidden="false" customHeight="false" outlineLevel="0" collapsed="false">
      <c r="A57" s="24" t="s">
        <v>41</v>
      </c>
      <c r="B57" s="25" t="n">
        <f aca="false">B53</f>
        <v>3687.35</v>
      </c>
      <c r="C57" s="26"/>
      <c r="D57" s="26"/>
    </row>
    <row r="58" customFormat="false" ht="15" hidden="false" customHeight="false" outlineLevel="0" collapsed="false">
      <c r="A58" s="27" t="s">
        <v>42</v>
      </c>
      <c r="B58" s="28" t="n">
        <f aca="false">B56-B57</f>
        <v>-3687.35</v>
      </c>
      <c r="C58" s="29"/>
      <c r="D58" s="29"/>
    </row>
  </sheetData>
  <mergeCells count="7">
    <mergeCell ref="A1:D1"/>
    <mergeCell ref="A3:D3"/>
    <mergeCell ref="A9:D9"/>
    <mergeCell ref="A55:D55"/>
    <mergeCell ref="C56:D56"/>
    <mergeCell ref="C57:D57"/>
    <mergeCell ref="C58:D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1" t="s">
        <v>242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6" t="s">
        <v>7</v>
      </c>
      <c r="D5" s="7" t="s">
        <v>8</v>
      </c>
    </row>
    <row r="6" customFormat="false" ht="15" hidden="false" customHeight="false" outlineLevel="0" collapsed="false">
      <c r="A6" s="8" t="s">
        <v>9</v>
      </c>
      <c r="B6" s="9"/>
      <c r="C6" s="10" t="s">
        <v>10</v>
      </c>
      <c r="D6" s="11" t="s">
        <v>8</v>
      </c>
    </row>
    <row r="7" customFormat="false" ht="15" hidden="false" customHeight="false" outlineLevel="0" collapsed="false">
      <c r="A7" s="12" t="s">
        <v>11</v>
      </c>
      <c r="B7" s="1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fals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false" outlineLevel="0" collapsed="false">
      <c r="A11" s="10" t="s">
        <v>243</v>
      </c>
      <c r="B11" s="16" t="n">
        <v>7</v>
      </c>
      <c r="C11" s="10" t="s">
        <v>7</v>
      </c>
      <c r="D11" s="10"/>
    </row>
    <row r="12" customFormat="false" ht="15" hidden="false" customHeight="false" outlineLevel="0" collapsed="false">
      <c r="A12" s="6" t="s">
        <v>244</v>
      </c>
      <c r="B12" s="17" t="n">
        <v>47.75</v>
      </c>
      <c r="C12" s="6" t="s">
        <v>14</v>
      </c>
      <c r="D12" s="6"/>
    </row>
    <row r="13" customFormat="false" ht="15" hidden="false" customHeight="false" outlineLevel="0" collapsed="false">
      <c r="A13" s="10" t="s">
        <v>245</v>
      </c>
      <c r="B13" s="16" t="n">
        <v>54.12</v>
      </c>
      <c r="C13" s="10" t="s">
        <v>14</v>
      </c>
      <c r="D13" s="10"/>
    </row>
    <row r="14" customFormat="false" ht="15" hidden="false" customHeight="false" outlineLevel="0" collapsed="false">
      <c r="A14" s="6" t="s">
        <v>246</v>
      </c>
      <c r="B14" s="17" t="n">
        <v>44.35</v>
      </c>
      <c r="C14" s="6" t="s">
        <v>14</v>
      </c>
      <c r="D14" s="6"/>
    </row>
    <row r="15" customFormat="false" ht="15" hidden="false" customHeight="false" outlineLevel="0" collapsed="false">
      <c r="A15" s="10" t="s">
        <v>247</v>
      </c>
      <c r="B15" s="16" t="n">
        <v>78.18</v>
      </c>
      <c r="C15" s="10" t="s">
        <v>7</v>
      </c>
      <c r="D15" s="10"/>
    </row>
    <row r="16" customFormat="false" ht="15" hidden="false" customHeight="false" outlineLevel="0" collapsed="false">
      <c r="A16" s="6" t="s">
        <v>248</v>
      </c>
      <c r="B16" s="17" t="n">
        <v>62.43</v>
      </c>
      <c r="C16" s="6" t="s">
        <v>7</v>
      </c>
      <c r="D16" s="6"/>
    </row>
    <row r="17" customFormat="false" ht="15" hidden="false" customHeight="false" outlineLevel="0" collapsed="false">
      <c r="A17" s="10" t="s">
        <v>249</v>
      </c>
      <c r="B17" s="16" t="n">
        <v>230.25</v>
      </c>
      <c r="C17" s="10" t="s">
        <v>14</v>
      </c>
      <c r="D17" s="10"/>
    </row>
    <row r="18" customFormat="false" ht="15" hidden="false" customHeight="false" outlineLevel="0" collapsed="false">
      <c r="A18" s="6" t="s">
        <v>250</v>
      </c>
      <c r="B18" s="17" t="n">
        <v>111.98</v>
      </c>
      <c r="C18" s="6" t="s">
        <v>7</v>
      </c>
      <c r="D18" s="6"/>
    </row>
    <row r="19" customFormat="false" ht="15" hidden="false" customHeight="false" outlineLevel="0" collapsed="false">
      <c r="A19" s="10" t="s">
        <v>251</v>
      </c>
      <c r="B19" s="16" t="n">
        <v>41.79</v>
      </c>
      <c r="C19" s="10" t="s">
        <v>14</v>
      </c>
      <c r="D19" s="10"/>
    </row>
    <row r="20" customFormat="false" ht="15" hidden="false" customHeight="false" outlineLevel="0" collapsed="false">
      <c r="A20" s="6" t="s">
        <v>252</v>
      </c>
      <c r="B20" s="17" t="n">
        <v>227.82</v>
      </c>
      <c r="C20" s="6" t="s">
        <v>14</v>
      </c>
      <c r="D20" s="6"/>
    </row>
    <row r="21" customFormat="false" ht="15" hidden="false" customHeight="false" outlineLevel="0" collapsed="false">
      <c r="A21" s="10" t="s">
        <v>140</v>
      </c>
      <c r="B21" s="16" t="n">
        <v>62.7</v>
      </c>
      <c r="C21" s="10" t="s">
        <v>14</v>
      </c>
      <c r="D21" s="10"/>
    </row>
    <row r="22" customFormat="false" ht="15" hidden="false" customHeight="false" outlineLevel="0" collapsed="false">
      <c r="A22" s="6" t="s">
        <v>18</v>
      </c>
      <c r="B22" s="17" t="n">
        <v>827.5</v>
      </c>
      <c r="C22" s="6" t="s">
        <v>14</v>
      </c>
      <c r="D22" s="6"/>
    </row>
    <row r="23" customFormat="false" ht="15" hidden="false" customHeight="false" outlineLevel="0" collapsed="false">
      <c r="A23" s="10" t="s">
        <v>16</v>
      </c>
      <c r="B23" s="16" t="n">
        <v>76.4</v>
      </c>
      <c r="C23" s="10" t="s">
        <v>14</v>
      </c>
      <c r="D23" s="10"/>
    </row>
    <row r="24" customFormat="false" ht="15" hidden="false" customHeight="false" outlineLevel="0" collapsed="false">
      <c r="A24" s="6" t="s">
        <v>17</v>
      </c>
      <c r="B24" s="17" t="n">
        <v>33.6</v>
      </c>
      <c r="C24" s="6" t="s">
        <v>14</v>
      </c>
      <c r="D24" s="6"/>
    </row>
    <row r="25" customFormat="false" ht="15" hidden="false" customHeight="false" outlineLevel="0" collapsed="false">
      <c r="A25" s="10" t="s">
        <v>172</v>
      </c>
      <c r="B25" s="16" t="n">
        <v>89.28</v>
      </c>
      <c r="C25" s="10" t="s">
        <v>14</v>
      </c>
      <c r="D25" s="10"/>
    </row>
    <row r="26" customFormat="false" ht="15" hidden="false" customHeight="false" outlineLevel="0" collapsed="false">
      <c r="A26" s="6" t="s">
        <v>186</v>
      </c>
      <c r="B26" s="17" t="n">
        <v>15</v>
      </c>
      <c r="C26" s="6" t="s">
        <v>14</v>
      </c>
      <c r="D26" s="6"/>
    </row>
    <row r="27" customFormat="false" ht="15" hidden="false" customHeight="false" outlineLevel="0" collapsed="false">
      <c r="A27" s="10" t="s">
        <v>67</v>
      </c>
      <c r="B27" s="16" t="n">
        <v>8</v>
      </c>
      <c r="C27" s="10" t="s">
        <v>14</v>
      </c>
      <c r="D27" s="10"/>
    </row>
    <row r="28" customFormat="false" ht="15" hidden="false" customHeight="false" outlineLevel="0" collapsed="false">
      <c r="A28" s="6" t="s">
        <v>31</v>
      </c>
      <c r="B28" s="17" t="n">
        <v>73</v>
      </c>
      <c r="C28" s="6" t="s">
        <v>14</v>
      </c>
      <c r="D28" s="6"/>
    </row>
    <row r="29" customFormat="false" ht="15" hidden="false" customHeight="false" outlineLevel="0" collapsed="false">
      <c r="A29" s="10" t="s">
        <v>33</v>
      </c>
      <c r="B29" s="16" t="n">
        <v>145.06</v>
      </c>
      <c r="C29" s="10" t="s">
        <v>14</v>
      </c>
      <c r="D29" s="10"/>
    </row>
    <row r="30" customFormat="false" ht="15" hidden="false" customHeight="false" outlineLevel="0" collapsed="false">
      <c r="A30" s="6" t="s">
        <v>253</v>
      </c>
      <c r="B30" s="17" t="n">
        <v>148</v>
      </c>
      <c r="C30" s="6" t="s">
        <v>14</v>
      </c>
      <c r="D30" s="6"/>
    </row>
    <row r="31" customFormat="false" ht="15" hidden="false" customHeight="false" outlineLevel="0" collapsed="false">
      <c r="A31" s="10" t="s">
        <v>123</v>
      </c>
      <c r="B31" s="16" t="n">
        <v>459.55</v>
      </c>
      <c r="C31" s="10" t="s">
        <v>7</v>
      </c>
      <c r="D31" s="10"/>
    </row>
    <row r="32" customFormat="false" ht="15" hidden="false" customHeight="false" outlineLevel="0" collapsed="false">
      <c r="A32" s="6" t="s">
        <v>136</v>
      </c>
      <c r="B32" s="17" t="n">
        <v>163.89</v>
      </c>
      <c r="C32" s="6" t="s">
        <v>10</v>
      </c>
      <c r="D32" s="6"/>
    </row>
    <row r="33" customFormat="false" ht="15" hidden="false" customHeight="false" outlineLevel="0" collapsed="false">
      <c r="A33" s="10" t="s">
        <v>254</v>
      </c>
      <c r="B33" s="16" t="n">
        <v>50</v>
      </c>
      <c r="C33" s="10" t="s">
        <v>14</v>
      </c>
      <c r="D33" s="10"/>
    </row>
    <row r="34" customFormat="false" ht="15" hidden="false" customHeight="false" outlineLevel="0" collapsed="false">
      <c r="A34" s="6" t="s">
        <v>169</v>
      </c>
      <c r="B34" s="17" t="n">
        <v>34.24</v>
      </c>
      <c r="C34" s="6" t="s">
        <v>14</v>
      </c>
      <c r="D34" s="6"/>
    </row>
    <row r="35" customFormat="false" ht="15" hidden="false" customHeight="false" outlineLevel="0" collapsed="false">
      <c r="A35" s="10" t="s">
        <v>255</v>
      </c>
      <c r="B35" s="16" t="n">
        <v>67.5</v>
      </c>
      <c r="C35" s="10" t="s">
        <v>14</v>
      </c>
      <c r="D35" s="10"/>
    </row>
    <row r="36" customFormat="false" ht="15" hidden="false" customHeight="false" outlineLevel="0" collapsed="false">
      <c r="A36" s="6" t="s">
        <v>256</v>
      </c>
      <c r="B36" s="17" t="n">
        <v>170</v>
      </c>
      <c r="C36" s="6" t="s">
        <v>14</v>
      </c>
      <c r="D36" s="6"/>
    </row>
    <row r="37" customFormat="false" ht="15" hidden="false" customHeight="false" outlineLevel="0" collapsed="false">
      <c r="A37" s="10" t="s">
        <v>257</v>
      </c>
      <c r="B37" s="16" t="n">
        <v>110</v>
      </c>
      <c r="C37" s="10" t="s">
        <v>14</v>
      </c>
      <c r="D37" s="10"/>
    </row>
    <row r="38" customFormat="false" ht="15" hidden="false" customHeight="false" outlineLevel="0" collapsed="false">
      <c r="A38" s="6" t="s">
        <v>258</v>
      </c>
      <c r="B38" s="17" t="n">
        <v>109.9</v>
      </c>
      <c r="C38" s="6" t="s">
        <v>14</v>
      </c>
      <c r="D38" s="6"/>
    </row>
    <row r="39" customFormat="false" ht="15" hidden="false" customHeight="false" outlineLevel="0" collapsed="false">
      <c r="A39" s="10" t="s">
        <v>104</v>
      </c>
      <c r="B39" s="16" t="n">
        <v>19.45</v>
      </c>
      <c r="C39" s="10" t="s">
        <v>7</v>
      </c>
      <c r="D39" s="10"/>
    </row>
    <row r="40" customFormat="false" ht="15" hidden="false" customHeight="false" outlineLevel="0" collapsed="false">
      <c r="A40" s="6" t="s">
        <v>105</v>
      </c>
      <c r="B40" s="17" t="n">
        <v>143.3</v>
      </c>
      <c r="C40" s="6" t="s">
        <v>10</v>
      </c>
      <c r="D40" s="6"/>
    </row>
    <row r="41" customFormat="false" ht="15" hidden="false" customHeight="false" outlineLevel="0" collapsed="false">
      <c r="A41" s="10" t="s">
        <v>134</v>
      </c>
      <c r="B41" s="16" t="n">
        <v>17.83</v>
      </c>
      <c r="C41" s="10" t="s">
        <v>14</v>
      </c>
      <c r="D41" s="10"/>
    </row>
    <row r="42" customFormat="false" ht="15" hidden="false" customHeight="false" outlineLevel="0" collapsed="false">
      <c r="A42" s="6" t="s">
        <v>150</v>
      </c>
      <c r="B42" s="17" t="n">
        <v>17.05</v>
      </c>
      <c r="C42" s="6" t="s">
        <v>7</v>
      </c>
      <c r="D42" s="6"/>
    </row>
    <row r="43" customFormat="false" ht="15" hidden="false" customHeight="false" outlineLevel="0" collapsed="false">
      <c r="A43" s="10" t="s">
        <v>135</v>
      </c>
      <c r="B43" s="16" t="n">
        <v>14.93</v>
      </c>
      <c r="C43" s="10" t="s">
        <v>14</v>
      </c>
      <c r="D43" s="10"/>
    </row>
    <row r="44" customFormat="false" ht="15" hidden="false" customHeight="false" outlineLevel="0" collapsed="false">
      <c r="A44" s="6" t="s">
        <v>259</v>
      </c>
      <c r="B44" s="17" t="n">
        <v>115.29</v>
      </c>
      <c r="C44" s="6" t="s">
        <v>14</v>
      </c>
      <c r="D44" s="6"/>
    </row>
    <row r="45" customFormat="false" ht="15" hidden="false" customHeight="false" outlineLevel="0" collapsed="false">
      <c r="A45" s="10" t="s">
        <v>122</v>
      </c>
      <c r="B45" s="16" t="n">
        <v>15.45</v>
      </c>
      <c r="C45" s="10" t="s">
        <v>14</v>
      </c>
      <c r="D45" s="10"/>
    </row>
    <row r="46" customFormat="false" ht="15" hidden="false" customHeight="false" outlineLevel="0" collapsed="false">
      <c r="A46" s="6" t="s">
        <v>260</v>
      </c>
      <c r="B46" s="17" t="n">
        <v>50</v>
      </c>
      <c r="C46" s="6" t="s">
        <v>14</v>
      </c>
      <c r="D46" s="6"/>
    </row>
    <row r="47" customFormat="false" ht="15" hidden="false" customHeight="false" outlineLevel="0" collapsed="false">
      <c r="A47" s="10" t="s">
        <v>151</v>
      </c>
      <c r="B47" s="16" t="n">
        <v>29.57</v>
      </c>
      <c r="C47" s="10" t="s">
        <v>10</v>
      </c>
      <c r="D47" s="10"/>
    </row>
    <row r="48" customFormat="false" ht="15" hidden="false" customHeight="false" outlineLevel="0" collapsed="false">
      <c r="A48" s="6"/>
      <c r="B48" s="17"/>
      <c r="C48" s="6"/>
      <c r="D48" s="6"/>
    </row>
    <row r="49" customFormat="false" ht="15" hidden="false" customHeight="false" outlineLevel="0" collapsed="false">
      <c r="A49" s="10"/>
      <c r="B49" s="16"/>
      <c r="C49" s="10"/>
      <c r="D49" s="10"/>
    </row>
    <row r="50" customFormat="false" ht="15" hidden="false" customHeight="false" outlineLevel="0" collapsed="false">
      <c r="A50" s="6"/>
      <c r="B50" s="17"/>
      <c r="C50" s="6"/>
      <c r="D50" s="6"/>
    </row>
    <row r="51" customFormat="false" ht="15" hidden="false" customHeight="false" outlineLevel="0" collapsed="false">
      <c r="A51" s="10"/>
      <c r="B51" s="16"/>
      <c r="C51" s="10"/>
      <c r="D51" s="10"/>
    </row>
    <row r="52" customFormat="false" ht="15" hidden="false" customHeight="false" outlineLevel="0" collapsed="false">
      <c r="A52" s="6"/>
      <c r="B52" s="17"/>
      <c r="C52" s="6"/>
      <c r="D52" s="6"/>
    </row>
    <row r="53" customFormat="false" ht="15" hidden="false" customHeight="false" outlineLevel="0" collapsed="false">
      <c r="A53" s="18" t="s">
        <v>38</v>
      </c>
      <c r="B53" s="19" t="n">
        <f aca="false">SUM(B11:B52)</f>
        <v>3972.16</v>
      </c>
      <c r="C53" s="18"/>
      <c r="D53" s="18"/>
    </row>
    <row r="54" customFormat="false" ht="6" hidden="false" customHeight="true" outlineLevel="0" collapsed="false"/>
    <row r="55" customFormat="false" ht="15" hidden="false" customHeight="true" outlineLevel="0" collapsed="false">
      <c r="A55" s="20" t="s">
        <v>39</v>
      </c>
      <c r="B55" s="20"/>
      <c r="C55" s="20"/>
      <c r="D55" s="20"/>
    </row>
    <row r="56" customFormat="false" ht="15" hidden="false" customHeight="false" outlineLevel="0" collapsed="false">
      <c r="A56" s="21" t="s">
        <v>40</v>
      </c>
      <c r="B56" s="22" t="n">
        <f aca="false">B7</f>
        <v>0</v>
      </c>
      <c r="C56" s="23"/>
      <c r="D56" s="23"/>
    </row>
    <row r="57" customFormat="false" ht="15" hidden="false" customHeight="false" outlineLevel="0" collapsed="false">
      <c r="A57" s="24" t="s">
        <v>41</v>
      </c>
      <c r="B57" s="25" t="n">
        <f aca="false">B53</f>
        <v>3972.16</v>
      </c>
      <c r="C57" s="26"/>
      <c r="D57" s="26"/>
    </row>
    <row r="58" customFormat="false" ht="15" hidden="false" customHeight="false" outlineLevel="0" collapsed="false">
      <c r="A58" s="27" t="s">
        <v>42</v>
      </c>
      <c r="B58" s="28" t="n">
        <f aca="false">B56-B57</f>
        <v>-3972.16</v>
      </c>
      <c r="C58" s="29"/>
      <c r="D58" s="29"/>
    </row>
  </sheetData>
  <mergeCells count="7">
    <mergeCell ref="A1:D1"/>
    <mergeCell ref="A3:D3"/>
    <mergeCell ref="A9:D9"/>
    <mergeCell ref="A55:D55"/>
    <mergeCell ref="C56:D56"/>
    <mergeCell ref="C57:D57"/>
    <mergeCell ref="C58:D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261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262</v>
      </c>
      <c r="B11" s="34" t="n">
        <v>7</v>
      </c>
      <c r="C11" s="10" t="s">
        <v>7</v>
      </c>
      <c r="D11" s="10" t="s">
        <v>263</v>
      </c>
    </row>
    <row r="12" customFormat="false" ht="15" hidden="false" customHeight="true" outlineLevel="0" collapsed="false">
      <c r="A12" s="6" t="s">
        <v>264</v>
      </c>
      <c r="B12" s="35" t="n">
        <v>95.54</v>
      </c>
      <c r="C12" s="6" t="s">
        <v>7</v>
      </c>
      <c r="D12" s="6"/>
    </row>
    <row r="13" customFormat="false" ht="15" hidden="false" customHeight="true" outlineLevel="0" collapsed="false">
      <c r="A13" s="10" t="s">
        <v>265</v>
      </c>
      <c r="B13" s="34" t="n">
        <v>115.29</v>
      </c>
      <c r="C13" s="10" t="s">
        <v>14</v>
      </c>
      <c r="D13" s="10"/>
    </row>
    <row r="14" customFormat="false" ht="15" hidden="false" customHeight="true" outlineLevel="0" collapsed="false">
      <c r="A14" s="6" t="s">
        <v>266</v>
      </c>
      <c r="B14" s="35" t="n">
        <v>47.03</v>
      </c>
      <c r="C14" s="6" t="s">
        <v>10</v>
      </c>
      <c r="D14" s="6" t="s">
        <v>263</v>
      </c>
    </row>
    <row r="15" customFormat="false" ht="15" hidden="false" customHeight="true" outlineLevel="0" collapsed="false">
      <c r="A15" s="10" t="s">
        <v>267</v>
      </c>
      <c r="B15" s="34" t="n">
        <v>54.12</v>
      </c>
      <c r="C15" s="10" t="s">
        <v>14</v>
      </c>
      <c r="D15" s="10"/>
    </row>
    <row r="16" customFormat="false" ht="15" hidden="false" customHeight="true" outlineLevel="0" collapsed="false">
      <c r="A16" s="6" t="s">
        <v>268</v>
      </c>
      <c r="B16" s="35" t="n">
        <v>78.18</v>
      </c>
      <c r="C16" s="6" t="s">
        <v>7</v>
      </c>
      <c r="D16" s="6"/>
    </row>
    <row r="17" customFormat="false" ht="15" hidden="false" customHeight="true" outlineLevel="0" collapsed="false">
      <c r="A17" s="10" t="s">
        <v>269</v>
      </c>
      <c r="B17" s="34" t="n">
        <v>62.43</v>
      </c>
      <c r="C17" s="10" t="s">
        <v>7</v>
      </c>
      <c r="D17" s="10"/>
    </row>
    <row r="18" customFormat="false" ht="15" hidden="false" customHeight="true" outlineLevel="0" collapsed="false">
      <c r="A18" s="6" t="s">
        <v>270</v>
      </c>
      <c r="B18" s="35" t="n">
        <v>230.25</v>
      </c>
      <c r="C18" s="6" t="s">
        <v>14</v>
      </c>
      <c r="D18" s="6"/>
    </row>
    <row r="19" customFormat="false" ht="15" hidden="false" customHeight="true" outlineLevel="0" collapsed="false">
      <c r="A19" s="10" t="s">
        <v>271</v>
      </c>
      <c r="B19" s="34" t="n">
        <v>111.98</v>
      </c>
      <c r="C19" s="10" t="s">
        <v>7</v>
      </c>
      <c r="D19" s="10"/>
    </row>
    <row r="20" customFormat="false" ht="15" hidden="false" customHeight="true" outlineLevel="0" collapsed="false">
      <c r="A20" s="6" t="s">
        <v>272</v>
      </c>
      <c r="B20" s="35" t="n">
        <v>41.79</v>
      </c>
      <c r="C20" s="6" t="s">
        <v>14</v>
      </c>
      <c r="D20" s="6"/>
    </row>
    <row r="21" customFormat="false" ht="15" hidden="false" customHeight="true" outlineLevel="0" collapsed="false">
      <c r="A21" s="10" t="s">
        <v>273</v>
      </c>
      <c r="B21" s="34" t="n">
        <v>227.82</v>
      </c>
      <c r="C21" s="10" t="s">
        <v>14</v>
      </c>
      <c r="D21" s="10"/>
    </row>
    <row r="22" customFormat="false" ht="15" hidden="false" customHeight="true" outlineLevel="0" collapsed="false">
      <c r="A22" s="6" t="s">
        <v>140</v>
      </c>
      <c r="B22" s="35" t="n">
        <v>62.7</v>
      </c>
      <c r="C22" s="6" t="s">
        <v>14</v>
      </c>
      <c r="D22" s="6"/>
    </row>
    <row r="23" customFormat="false" ht="15" hidden="false" customHeight="true" outlineLevel="0" collapsed="false">
      <c r="A23" s="10" t="s">
        <v>274</v>
      </c>
      <c r="B23" s="34" t="n">
        <v>827.5</v>
      </c>
      <c r="C23" s="10" t="s">
        <v>14</v>
      </c>
      <c r="D23" s="10"/>
    </row>
    <row r="24" customFormat="false" ht="15" hidden="false" customHeight="true" outlineLevel="0" collapsed="false">
      <c r="A24" s="6" t="s">
        <v>16</v>
      </c>
      <c r="B24" s="35" t="n">
        <v>76.4</v>
      </c>
      <c r="C24" s="6" t="s">
        <v>14</v>
      </c>
      <c r="D24" s="6"/>
    </row>
    <row r="25" customFormat="false" ht="15" hidden="false" customHeight="true" outlineLevel="0" collapsed="false">
      <c r="A25" s="10" t="s">
        <v>17</v>
      </c>
      <c r="B25" s="34" t="n">
        <v>33.6</v>
      </c>
      <c r="C25" s="10" t="s">
        <v>14</v>
      </c>
      <c r="D25" s="10"/>
    </row>
    <row r="26" customFormat="false" ht="15" hidden="false" customHeight="true" outlineLevel="0" collapsed="false">
      <c r="A26" s="6" t="s">
        <v>275</v>
      </c>
      <c r="B26" s="35" t="n">
        <v>64.24</v>
      </c>
      <c r="C26" s="6" t="s">
        <v>14</v>
      </c>
      <c r="D26" s="6"/>
    </row>
    <row r="27" customFormat="false" ht="15" hidden="false" customHeight="true" outlineLevel="0" collapsed="false">
      <c r="A27" s="10" t="s">
        <v>276</v>
      </c>
      <c r="B27" s="34" t="n">
        <v>215.78</v>
      </c>
      <c r="C27" s="10" t="s">
        <v>10</v>
      </c>
      <c r="D27" s="10"/>
    </row>
    <row r="28" customFormat="false" ht="15" hidden="false" customHeight="true" outlineLevel="0" collapsed="false">
      <c r="A28" s="6" t="s">
        <v>67</v>
      </c>
      <c r="B28" s="35" t="n">
        <v>8</v>
      </c>
      <c r="C28" s="6" t="s">
        <v>14</v>
      </c>
      <c r="D28" s="6"/>
    </row>
    <row r="29" customFormat="false" ht="15" hidden="false" customHeight="true" outlineLevel="0" collapsed="false">
      <c r="A29" s="10" t="s">
        <v>33</v>
      </c>
      <c r="B29" s="34" t="n">
        <v>185.81</v>
      </c>
      <c r="C29" s="10" t="s">
        <v>14</v>
      </c>
      <c r="D29" s="10"/>
    </row>
    <row r="30" customFormat="false" ht="15" hidden="false" customHeight="true" outlineLevel="0" collapsed="false">
      <c r="A30" s="6" t="s">
        <v>153</v>
      </c>
      <c r="B30" s="35" t="n">
        <v>85.56</v>
      </c>
      <c r="C30" s="6" t="s">
        <v>14</v>
      </c>
      <c r="D30" s="6"/>
    </row>
    <row r="31" customFormat="false" ht="15" hidden="false" customHeight="true" outlineLevel="0" collapsed="false">
      <c r="A31" s="10" t="s">
        <v>256</v>
      </c>
      <c r="B31" s="34" t="n">
        <v>266</v>
      </c>
      <c r="C31" s="10" t="s">
        <v>14</v>
      </c>
      <c r="D31" s="10"/>
    </row>
    <row r="32" customFormat="false" ht="15" hidden="false" customHeight="true" outlineLevel="0" collapsed="false">
      <c r="A32" s="6" t="s">
        <v>277</v>
      </c>
      <c r="B32" s="35" t="n">
        <v>90</v>
      </c>
      <c r="C32" s="6" t="s">
        <v>14</v>
      </c>
      <c r="D32" s="6"/>
    </row>
    <row r="33" customFormat="false" ht="15" hidden="false" customHeight="true" outlineLevel="0" collapsed="false">
      <c r="A33" s="10" t="s">
        <v>31</v>
      </c>
      <c r="B33" s="34" t="n">
        <v>74.92</v>
      </c>
      <c r="C33" s="10" t="s">
        <v>14</v>
      </c>
      <c r="D33" s="10"/>
    </row>
    <row r="34" customFormat="false" ht="15" hidden="false" customHeight="true" outlineLevel="0" collapsed="false">
      <c r="A34" s="6" t="s">
        <v>150</v>
      </c>
      <c r="B34" s="35" t="n">
        <v>17.05</v>
      </c>
      <c r="C34" s="6" t="s">
        <v>7</v>
      </c>
      <c r="D34" s="6"/>
    </row>
    <row r="35" customFormat="false" ht="15" hidden="false" customHeight="true" outlineLevel="0" collapsed="false">
      <c r="A35" s="10" t="s">
        <v>151</v>
      </c>
      <c r="B35" s="34" t="n">
        <v>29.57</v>
      </c>
      <c r="C35" s="10" t="s">
        <v>10</v>
      </c>
      <c r="D35" s="10"/>
    </row>
    <row r="36" customFormat="false" ht="15" hidden="false" customHeight="true" outlineLevel="0" collapsed="false">
      <c r="A36" s="6" t="s">
        <v>124</v>
      </c>
      <c r="B36" s="35" t="n">
        <v>17.83</v>
      </c>
      <c r="C36" s="6" t="s">
        <v>10</v>
      </c>
      <c r="D36" s="6"/>
    </row>
    <row r="37" customFormat="false" ht="15" hidden="false" customHeight="true" outlineLevel="0" collapsed="false">
      <c r="A37" s="10" t="s">
        <v>278</v>
      </c>
      <c r="B37" s="34" t="n">
        <v>14.93</v>
      </c>
      <c r="C37" s="10" t="s">
        <v>7</v>
      </c>
      <c r="D37" s="10"/>
    </row>
    <row r="38" customFormat="false" ht="15" hidden="false" customHeight="true" outlineLevel="0" collapsed="false">
      <c r="A38" s="6" t="s">
        <v>122</v>
      </c>
      <c r="B38" s="35" t="n">
        <v>31.8</v>
      </c>
      <c r="C38" s="6" t="s">
        <v>14</v>
      </c>
      <c r="D38" s="6"/>
    </row>
    <row r="39" customFormat="false" ht="15" hidden="false" customHeight="true" outlineLevel="0" collapsed="false">
      <c r="A39" s="10" t="s">
        <v>279</v>
      </c>
      <c r="B39" s="34" t="n">
        <v>496.76</v>
      </c>
      <c r="C39" s="10" t="s">
        <v>7</v>
      </c>
      <c r="D39" s="10"/>
    </row>
    <row r="40" customFormat="false" ht="15" hidden="false" customHeight="true" outlineLevel="0" collapsed="false">
      <c r="A40" s="6" t="s">
        <v>280</v>
      </c>
      <c r="B40" s="35" t="n">
        <v>297.45</v>
      </c>
      <c r="C40" s="6" t="s">
        <v>14</v>
      </c>
      <c r="D40" s="6"/>
    </row>
    <row r="41" customFormat="false" ht="15" hidden="false" customHeight="true" outlineLevel="0" collapsed="false">
      <c r="A41" s="10" t="s">
        <v>105</v>
      </c>
      <c r="B41" s="34" t="n">
        <v>132.05</v>
      </c>
      <c r="C41" s="10" t="s">
        <v>10</v>
      </c>
      <c r="D41" s="10"/>
    </row>
    <row r="42" customFormat="false" ht="15" hidden="false" customHeight="true" outlineLevel="0" collapsed="false">
      <c r="A42" s="6" t="s">
        <v>104</v>
      </c>
      <c r="B42" s="35" t="n">
        <v>146.64</v>
      </c>
      <c r="C42" s="6" t="s">
        <v>7</v>
      </c>
      <c r="D42" s="6"/>
    </row>
    <row r="43" customFormat="false" ht="15" hidden="false" customHeight="true" outlineLevel="0" collapsed="false">
      <c r="A43" s="10" t="s">
        <v>186</v>
      </c>
      <c r="B43" s="34" t="n">
        <v>15</v>
      </c>
      <c r="C43" s="10" t="s">
        <v>14</v>
      </c>
      <c r="D43" s="10"/>
    </row>
    <row r="44" customFormat="false" ht="15" hidden="false" customHeight="true" outlineLevel="0" collapsed="false">
      <c r="A44" s="6" t="s">
        <v>281</v>
      </c>
      <c r="B44" s="35" t="n">
        <v>73.34</v>
      </c>
      <c r="C44" s="6" t="s">
        <v>14</v>
      </c>
      <c r="D44" s="6"/>
    </row>
    <row r="45" customFormat="false" ht="15" hidden="false" customHeight="true" outlineLevel="0" collapsed="false">
      <c r="A45" s="10" t="s">
        <v>282</v>
      </c>
      <c r="B45" s="34" t="n">
        <v>99</v>
      </c>
      <c r="C45" s="10" t="s">
        <v>7</v>
      </c>
      <c r="D45" s="10"/>
    </row>
    <row r="46" customFormat="false" ht="15" hidden="false" customHeight="true" outlineLevel="0" collapsed="false">
      <c r="A46" s="6" t="s">
        <v>125</v>
      </c>
      <c r="B46" s="35" t="n">
        <v>13.89</v>
      </c>
      <c r="C46" s="6" t="s">
        <v>14</v>
      </c>
      <c r="D46" s="6"/>
    </row>
    <row r="47" customFormat="false" ht="15" hidden="false" customHeight="true" outlineLevel="0" collapsed="false">
      <c r="A47" s="10" t="s">
        <v>283</v>
      </c>
      <c r="B47" s="34" t="n">
        <v>16.43</v>
      </c>
      <c r="C47" s="10" t="s">
        <v>14</v>
      </c>
      <c r="D47" s="10"/>
    </row>
    <row r="48" customFormat="false" ht="15" hidden="false" customHeight="true" outlineLevel="0" collapsed="false">
      <c r="A48" s="6"/>
      <c r="B48" s="35"/>
      <c r="C48" s="6"/>
      <c r="D48" s="6"/>
    </row>
    <row r="49" customFormat="false" ht="15" hidden="false" customHeight="true" outlineLevel="0" collapsed="false">
      <c r="A49" s="10"/>
      <c r="B49" s="34"/>
      <c r="C49" s="10"/>
      <c r="D49" s="10"/>
    </row>
    <row r="50" customFormat="false" ht="15" hidden="false" customHeight="true" outlineLevel="0" collapsed="false">
      <c r="A50" s="6"/>
      <c r="B50" s="35"/>
      <c r="C50" s="6"/>
      <c r="D50" s="6"/>
    </row>
    <row r="51" customFormat="false" ht="15" hidden="false" customHeight="true" outlineLevel="0" collapsed="false">
      <c r="A51" s="10"/>
      <c r="B51" s="34"/>
      <c r="C51" s="10"/>
      <c r="D51" s="10"/>
    </row>
    <row r="52" customFormat="false" ht="15" hidden="false" customHeight="true" outlineLevel="0" collapsed="false">
      <c r="A52" s="6"/>
      <c r="B52" s="35"/>
      <c r="C52" s="6"/>
      <c r="D52" s="6"/>
    </row>
    <row r="53" customFormat="false" ht="15" hidden="false" customHeight="true" outlineLevel="0" collapsed="false">
      <c r="A53" s="18" t="s">
        <v>38</v>
      </c>
      <c r="B53" s="36" t="n">
        <f aca="false">SUM(B11:B52)</f>
        <v>4463.68</v>
      </c>
      <c r="C53" s="18"/>
      <c r="D53" s="18"/>
    </row>
    <row r="54" customFormat="false" ht="6" hidden="false" customHeight="true" outlineLevel="0" collapsed="false"/>
    <row r="55" customFormat="false" ht="15" hidden="false" customHeight="true" outlineLevel="0" collapsed="false">
      <c r="A55" s="20" t="s">
        <v>39</v>
      </c>
      <c r="B55" s="20"/>
      <c r="C55" s="20"/>
      <c r="D55" s="20"/>
    </row>
    <row r="56" customFormat="false" ht="15" hidden="false" customHeight="true" outlineLevel="0" collapsed="false">
      <c r="A56" s="21" t="s">
        <v>40</v>
      </c>
      <c r="B56" s="37" t="n">
        <f aca="false">B7</f>
        <v>0</v>
      </c>
      <c r="C56" s="23"/>
      <c r="D56" s="23"/>
    </row>
    <row r="57" customFormat="false" ht="15" hidden="false" customHeight="true" outlineLevel="0" collapsed="false">
      <c r="A57" s="24" t="s">
        <v>41</v>
      </c>
      <c r="B57" s="38" t="n">
        <f aca="false">B53</f>
        <v>4463.68</v>
      </c>
      <c r="C57" s="26"/>
      <c r="D57" s="26"/>
    </row>
    <row r="58" customFormat="false" ht="15" hidden="false" customHeight="true" outlineLevel="0" collapsed="false">
      <c r="A58" s="27" t="s">
        <v>42</v>
      </c>
      <c r="B58" s="39" t="n">
        <f aca="false">B56-B57</f>
        <v>-4463.68</v>
      </c>
      <c r="C58" s="29"/>
      <c r="D58" s="29"/>
    </row>
  </sheetData>
  <mergeCells count="7">
    <mergeCell ref="A1:D1"/>
    <mergeCell ref="A3:D3"/>
    <mergeCell ref="A9:D9"/>
    <mergeCell ref="A55:D55"/>
    <mergeCell ref="C56:D56"/>
    <mergeCell ref="C57:D57"/>
    <mergeCell ref="C58:D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284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285</v>
      </c>
      <c r="B11" s="34" t="n">
        <v>78.18</v>
      </c>
      <c r="C11" s="10" t="s">
        <v>7</v>
      </c>
      <c r="D11" s="10"/>
    </row>
    <row r="12" customFormat="false" ht="15" hidden="false" customHeight="true" outlineLevel="0" collapsed="false">
      <c r="A12" s="6" t="s">
        <v>122</v>
      </c>
      <c r="B12" s="35" t="n">
        <v>19.09</v>
      </c>
      <c r="C12" s="6" t="s">
        <v>14</v>
      </c>
      <c r="D12" s="6"/>
    </row>
    <row r="13" customFormat="false" ht="15" hidden="false" customHeight="true" outlineLevel="0" collapsed="false">
      <c r="A13" s="10" t="s">
        <v>286</v>
      </c>
      <c r="B13" s="34" t="n">
        <v>154.14</v>
      </c>
      <c r="C13" s="10" t="s">
        <v>14</v>
      </c>
      <c r="D13" s="10"/>
    </row>
    <row r="14" customFormat="false" ht="15" hidden="false" customHeight="true" outlineLevel="0" collapsed="false">
      <c r="A14" s="6" t="s">
        <v>287</v>
      </c>
      <c r="B14" s="35" t="n">
        <v>115.29</v>
      </c>
      <c r="C14" s="6" t="s">
        <v>14</v>
      </c>
      <c r="D14" s="6"/>
    </row>
    <row r="15" customFormat="false" ht="15" hidden="false" customHeight="true" outlineLevel="0" collapsed="false">
      <c r="A15" s="10" t="s">
        <v>288</v>
      </c>
      <c r="B15" s="34" t="n">
        <v>288.04</v>
      </c>
      <c r="C15" s="10" t="s">
        <v>14</v>
      </c>
      <c r="D15" s="10"/>
    </row>
    <row r="16" customFormat="false" ht="15" hidden="false" customHeight="true" outlineLevel="0" collapsed="false">
      <c r="A16" s="6" t="s">
        <v>289</v>
      </c>
      <c r="B16" s="35" t="n">
        <v>62.43</v>
      </c>
      <c r="C16" s="6" t="s">
        <v>7</v>
      </c>
      <c r="D16" s="6"/>
    </row>
    <row r="17" customFormat="false" ht="15" hidden="false" customHeight="true" outlineLevel="0" collapsed="false">
      <c r="A17" s="10" t="s">
        <v>290</v>
      </c>
      <c r="B17" s="34" t="n">
        <v>230.25</v>
      </c>
      <c r="C17" s="10" t="s">
        <v>14</v>
      </c>
      <c r="D17" s="10"/>
    </row>
    <row r="18" customFormat="false" ht="15" hidden="false" customHeight="true" outlineLevel="0" collapsed="false">
      <c r="A18" s="6" t="s">
        <v>291</v>
      </c>
      <c r="B18" s="35" t="n">
        <v>111.98</v>
      </c>
      <c r="C18" s="6" t="s">
        <v>7</v>
      </c>
      <c r="D18" s="6"/>
    </row>
    <row r="19" customFormat="false" ht="15" hidden="false" customHeight="true" outlineLevel="0" collapsed="false">
      <c r="A19" s="10" t="s">
        <v>292</v>
      </c>
      <c r="B19" s="34" t="n">
        <v>41.79</v>
      </c>
      <c r="C19" s="10" t="s">
        <v>14</v>
      </c>
      <c r="D19" s="10"/>
    </row>
    <row r="20" customFormat="false" ht="15" hidden="false" customHeight="true" outlineLevel="0" collapsed="false">
      <c r="A20" s="6" t="s">
        <v>293</v>
      </c>
      <c r="B20" s="35" t="n">
        <v>227.82</v>
      </c>
      <c r="C20" s="6" t="s">
        <v>14</v>
      </c>
      <c r="D20" s="6"/>
    </row>
    <row r="21" customFormat="false" ht="15" hidden="false" customHeight="true" outlineLevel="0" collapsed="false">
      <c r="A21" s="10" t="s">
        <v>274</v>
      </c>
      <c r="B21" s="34" t="n">
        <v>865.04</v>
      </c>
      <c r="C21" s="10" t="s">
        <v>14</v>
      </c>
      <c r="D21" s="10"/>
    </row>
    <row r="22" customFormat="false" ht="15" hidden="false" customHeight="true" outlineLevel="0" collapsed="false">
      <c r="A22" s="6" t="s">
        <v>17</v>
      </c>
      <c r="B22" s="35" t="n">
        <v>35.11</v>
      </c>
      <c r="C22" s="6" t="s">
        <v>14</v>
      </c>
      <c r="D22" s="6"/>
    </row>
    <row r="23" customFormat="false" ht="15" hidden="false" customHeight="true" outlineLevel="0" collapsed="false">
      <c r="A23" s="10" t="s">
        <v>16</v>
      </c>
      <c r="B23" s="34" t="n">
        <v>79.92</v>
      </c>
      <c r="C23" s="10" t="s">
        <v>14</v>
      </c>
      <c r="D23" s="10"/>
    </row>
    <row r="24" customFormat="false" ht="15" hidden="false" customHeight="true" outlineLevel="0" collapsed="false">
      <c r="A24" s="6" t="s">
        <v>140</v>
      </c>
      <c r="B24" s="35" t="n">
        <v>69</v>
      </c>
      <c r="C24" s="6" t="s">
        <v>14</v>
      </c>
      <c r="D24" s="6"/>
    </row>
    <row r="25" customFormat="false" ht="15" hidden="false" customHeight="true" outlineLevel="0" collapsed="false">
      <c r="A25" s="10" t="s">
        <v>275</v>
      </c>
      <c r="B25" s="34" t="n">
        <v>64.24</v>
      </c>
      <c r="C25" s="10" t="s">
        <v>14</v>
      </c>
      <c r="D25" s="10"/>
    </row>
    <row r="26" customFormat="false" ht="15" hidden="false" customHeight="true" outlineLevel="0" collapsed="false">
      <c r="A26" s="6" t="s">
        <v>33</v>
      </c>
      <c r="B26" s="35" t="n">
        <v>188.2</v>
      </c>
      <c r="C26" s="6" t="s">
        <v>14</v>
      </c>
      <c r="D26" s="6"/>
    </row>
    <row r="27" customFormat="false" ht="15" hidden="false" customHeight="true" outlineLevel="0" collapsed="false">
      <c r="A27" s="10" t="s">
        <v>169</v>
      </c>
      <c r="B27" s="34" t="n">
        <v>58.28</v>
      </c>
      <c r="C27" s="10" t="s">
        <v>14</v>
      </c>
      <c r="D27" s="10"/>
    </row>
    <row r="28" customFormat="false" ht="15" hidden="false" customHeight="true" outlineLevel="0" collapsed="false">
      <c r="A28" s="6" t="s">
        <v>256</v>
      </c>
      <c r="B28" s="35" t="n">
        <v>177.8</v>
      </c>
      <c r="C28" s="6" t="s">
        <v>14</v>
      </c>
      <c r="D28" s="6"/>
    </row>
    <row r="29" customFormat="false" ht="15" hidden="false" customHeight="true" outlineLevel="0" collapsed="false">
      <c r="A29" s="10" t="s">
        <v>218</v>
      </c>
      <c r="B29" s="34" t="n">
        <v>128.6</v>
      </c>
      <c r="C29" s="10" t="s">
        <v>14</v>
      </c>
      <c r="D29" s="10"/>
    </row>
    <row r="30" customFormat="false" ht="15" hidden="false" customHeight="true" outlineLevel="0" collapsed="false">
      <c r="A30" s="6" t="s">
        <v>88</v>
      </c>
      <c r="B30" s="35" t="n">
        <v>79.35</v>
      </c>
      <c r="C30" s="6" t="s">
        <v>14</v>
      </c>
      <c r="D30" s="6"/>
    </row>
    <row r="31" customFormat="false" ht="15" hidden="false" customHeight="true" outlineLevel="0" collapsed="false">
      <c r="A31" s="10" t="s">
        <v>150</v>
      </c>
      <c r="B31" s="34" t="n">
        <v>17.05</v>
      </c>
      <c r="C31" s="10" t="s">
        <v>7</v>
      </c>
      <c r="D31" s="10"/>
    </row>
    <row r="32" customFormat="false" ht="15" hidden="false" customHeight="true" outlineLevel="0" collapsed="false">
      <c r="A32" s="6" t="s">
        <v>151</v>
      </c>
      <c r="B32" s="35" t="n">
        <v>29.57</v>
      </c>
      <c r="C32" s="6" t="s">
        <v>10</v>
      </c>
      <c r="D32" s="6"/>
    </row>
    <row r="33" customFormat="false" ht="15" hidden="false" customHeight="true" outlineLevel="0" collapsed="false">
      <c r="A33" s="10" t="s">
        <v>278</v>
      </c>
      <c r="B33" s="34" t="n">
        <v>14.93</v>
      </c>
      <c r="C33" s="10" t="s">
        <v>7</v>
      </c>
      <c r="D33" s="10"/>
    </row>
    <row r="34" customFormat="false" ht="15" hidden="false" customHeight="true" outlineLevel="0" collapsed="false">
      <c r="A34" s="6" t="s">
        <v>124</v>
      </c>
      <c r="B34" s="35" t="n">
        <v>17.83</v>
      </c>
      <c r="C34" s="6" t="s">
        <v>10</v>
      </c>
      <c r="D34" s="6"/>
    </row>
    <row r="35" customFormat="false" ht="15" hidden="false" customHeight="true" outlineLevel="0" collapsed="false">
      <c r="A35" s="10" t="s">
        <v>67</v>
      </c>
      <c r="B35" s="34" t="n">
        <v>8</v>
      </c>
      <c r="C35" s="10" t="s">
        <v>14</v>
      </c>
      <c r="D35" s="10"/>
    </row>
    <row r="36" customFormat="false" ht="15" hidden="false" customHeight="true" outlineLevel="0" collapsed="false">
      <c r="A36" s="6" t="s">
        <v>279</v>
      </c>
      <c r="B36" s="35" t="n">
        <v>254.9</v>
      </c>
      <c r="C36" s="6" t="s">
        <v>7</v>
      </c>
      <c r="D36" s="6"/>
    </row>
    <row r="37" customFormat="false" ht="15" hidden="false" customHeight="true" outlineLevel="0" collapsed="false">
      <c r="A37" s="10" t="s">
        <v>105</v>
      </c>
      <c r="B37" s="34" t="n">
        <v>36.49</v>
      </c>
      <c r="C37" s="10" t="s">
        <v>10</v>
      </c>
      <c r="D37" s="10"/>
    </row>
    <row r="38" customFormat="false" ht="15" hidden="false" customHeight="true" outlineLevel="0" collapsed="false">
      <c r="A38" s="6" t="s">
        <v>104</v>
      </c>
      <c r="B38" s="35" t="n">
        <v>80.81</v>
      </c>
      <c r="C38" s="6" t="s">
        <v>7</v>
      </c>
      <c r="D38" s="6"/>
    </row>
    <row r="39" customFormat="false" ht="15" hidden="false" customHeight="true" outlineLevel="0" collapsed="false">
      <c r="A39" s="10" t="s">
        <v>294</v>
      </c>
      <c r="B39" s="34" t="n">
        <v>420</v>
      </c>
      <c r="C39" s="10" t="s">
        <v>14</v>
      </c>
      <c r="D39" s="10"/>
    </row>
    <row r="40" customFormat="false" ht="15" hidden="false" customHeight="true" outlineLevel="0" collapsed="false">
      <c r="A40" s="6" t="s">
        <v>276</v>
      </c>
      <c r="B40" s="35" t="n">
        <v>454</v>
      </c>
      <c r="C40" s="6" t="s">
        <v>10</v>
      </c>
      <c r="D40" s="6"/>
    </row>
    <row r="41" customFormat="false" ht="15" hidden="false" customHeight="true" outlineLevel="0" collapsed="false">
      <c r="A41" s="10" t="s">
        <v>295</v>
      </c>
      <c r="B41" s="34" t="n">
        <v>96.47</v>
      </c>
      <c r="C41" s="10" t="s">
        <v>14</v>
      </c>
      <c r="D41" s="10"/>
    </row>
    <row r="42" customFormat="false" ht="15" hidden="false" customHeight="true" outlineLevel="0" collapsed="false">
      <c r="A42" s="6" t="s">
        <v>296</v>
      </c>
      <c r="B42" s="35" t="n">
        <v>64</v>
      </c>
      <c r="C42" s="6" t="s">
        <v>14</v>
      </c>
      <c r="D42" s="6"/>
    </row>
    <row r="43" customFormat="false" ht="15" hidden="false" customHeight="true" outlineLevel="0" collapsed="false">
      <c r="A43" s="10" t="s">
        <v>297</v>
      </c>
      <c r="B43" s="34" t="n">
        <v>120</v>
      </c>
      <c r="C43" s="10" t="s">
        <v>14</v>
      </c>
      <c r="D43" s="10"/>
    </row>
    <row r="44" customFormat="false" ht="15" hidden="false" customHeight="true" outlineLevel="0" collapsed="false">
      <c r="A44" s="6" t="s">
        <v>186</v>
      </c>
      <c r="B44" s="35" t="n">
        <v>15</v>
      </c>
      <c r="C44" s="6" t="s">
        <v>14</v>
      </c>
      <c r="D44" s="6"/>
    </row>
    <row r="45" customFormat="false" ht="15" hidden="false" customHeight="true" outlineLevel="0" collapsed="false">
      <c r="A45" s="10" t="s">
        <v>298</v>
      </c>
      <c r="B45" s="34" t="n">
        <v>2.9</v>
      </c>
      <c r="C45" s="10" t="s">
        <v>14</v>
      </c>
      <c r="D45" s="10"/>
    </row>
    <row r="46" customFormat="false" ht="15" hidden="false" customHeight="true" outlineLevel="0" collapsed="false">
      <c r="A46" s="6" t="s">
        <v>31</v>
      </c>
      <c r="B46" s="35" t="n">
        <v>79</v>
      </c>
      <c r="C46" s="6" t="s">
        <v>14</v>
      </c>
      <c r="D46" s="6"/>
    </row>
    <row r="47" customFormat="false" ht="15" hidden="false" customHeight="true" outlineLevel="0" collapsed="false">
      <c r="A47" s="10"/>
      <c r="B47" s="34"/>
      <c r="C47" s="10"/>
      <c r="D47" s="10"/>
    </row>
    <row r="48" customFormat="false" ht="15" hidden="false" customHeight="true" outlineLevel="0" collapsed="false">
      <c r="A48" s="6"/>
      <c r="B48" s="35"/>
      <c r="C48" s="6"/>
      <c r="D48" s="6"/>
    </row>
    <row r="49" customFormat="false" ht="15" hidden="false" customHeight="true" outlineLevel="0" collapsed="false">
      <c r="A49" s="10"/>
      <c r="B49" s="34"/>
      <c r="C49" s="10"/>
      <c r="D49" s="10"/>
    </row>
    <row r="50" customFormat="false" ht="15" hidden="false" customHeight="true" outlineLevel="0" collapsed="false">
      <c r="A50" s="6"/>
      <c r="B50" s="35"/>
      <c r="C50" s="6"/>
      <c r="D50" s="6"/>
    </row>
    <row r="51" customFormat="false" ht="15" hidden="false" customHeight="true" outlineLevel="0" collapsed="false">
      <c r="A51" s="10"/>
      <c r="B51" s="34"/>
      <c r="C51" s="10"/>
      <c r="D51" s="10"/>
    </row>
    <row r="52" customFormat="false" ht="15" hidden="false" customHeight="true" outlineLevel="0" collapsed="false">
      <c r="A52" s="18" t="s">
        <v>38</v>
      </c>
      <c r="B52" s="36" t="n">
        <f aca="false">SUM(B11:B51)</f>
        <v>4785.5</v>
      </c>
      <c r="C52" s="18"/>
      <c r="D52" s="18"/>
    </row>
    <row r="53" customFormat="false" ht="6" hidden="false" customHeight="true" outlineLevel="0" collapsed="false"/>
    <row r="54" customFormat="false" ht="15" hidden="false" customHeight="true" outlineLevel="0" collapsed="false">
      <c r="A54" s="20" t="s">
        <v>39</v>
      </c>
      <c r="B54" s="20"/>
      <c r="C54" s="20"/>
      <c r="D54" s="20"/>
    </row>
    <row r="55" customFormat="false" ht="15" hidden="false" customHeight="true" outlineLevel="0" collapsed="false">
      <c r="A55" s="21" t="s">
        <v>40</v>
      </c>
      <c r="B55" s="37" t="n">
        <f aca="false">B7</f>
        <v>0</v>
      </c>
      <c r="C55" s="23"/>
      <c r="D55" s="23"/>
    </row>
    <row r="56" customFormat="false" ht="15" hidden="false" customHeight="true" outlineLevel="0" collapsed="false">
      <c r="A56" s="24" t="s">
        <v>41</v>
      </c>
      <c r="B56" s="38" t="n">
        <f aca="false">B52</f>
        <v>4785.5</v>
      </c>
      <c r="C56" s="26"/>
      <c r="D56" s="26"/>
    </row>
    <row r="57" customFormat="false" ht="15" hidden="false" customHeight="true" outlineLevel="0" collapsed="false">
      <c r="A57" s="27" t="s">
        <v>42</v>
      </c>
      <c r="B57" s="39" t="n">
        <f aca="false">B55-B56</f>
        <v>-4785.5</v>
      </c>
      <c r="C57" s="29"/>
      <c r="D57" s="29"/>
    </row>
  </sheetData>
  <mergeCells count="7">
    <mergeCell ref="A1:D1"/>
    <mergeCell ref="A3:D3"/>
    <mergeCell ref="A9:D9"/>
    <mergeCell ref="A54:D54"/>
    <mergeCell ref="C55:D55"/>
    <mergeCell ref="C56:D56"/>
    <mergeCell ref="C57:D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299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300</v>
      </c>
      <c r="B11" s="34" t="n">
        <v>64</v>
      </c>
      <c r="C11" s="10" t="s">
        <v>14</v>
      </c>
      <c r="D11" s="10"/>
    </row>
    <row r="12" customFormat="false" ht="15" hidden="false" customHeight="true" outlineLevel="0" collapsed="false">
      <c r="A12" s="6" t="s">
        <v>301</v>
      </c>
      <c r="B12" s="35" t="n">
        <v>78.23</v>
      </c>
      <c r="C12" s="6" t="s">
        <v>7</v>
      </c>
      <c r="D12" s="6"/>
    </row>
    <row r="13" customFormat="false" ht="15" hidden="false" customHeight="true" outlineLevel="0" collapsed="false">
      <c r="A13" s="10" t="s">
        <v>208</v>
      </c>
      <c r="B13" s="34" t="n">
        <v>58.18</v>
      </c>
      <c r="C13" s="10" t="s">
        <v>14</v>
      </c>
      <c r="D13" s="10"/>
    </row>
    <row r="14" customFormat="false" ht="15" hidden="false" customHeight="true" outlineLevel="0" collapsed="false">
      <c r="A14" s="6" t="s">
        <v>302</v>
      </c>
      <c r="B14" s="35" t="n">
        <v>115.24</v>
      </c>
      <c r="C14" s="6" t="s">
        <v>14</v>
      </c>
      <c r="D14" s="6"/>
    </row>
    <row r="15" customFormat="false" ht="15" hidden="false" customHeight="true" outlineLevel="0" collapsed="false">
      <c r="A15" s="10" t="s">
        <v>303</v>
      </c>
      <c r="B15" s="34" t="n">
        <v>288.03</v>
      </c>
      <c r="C15" s="10" t="s">
        <v>14</v>
      </c>
      <c r="D15" s="10"/>
    </row>
    <row r="16" customFormat="false" ht="15" hidden="false" customHeight="true" outlineLevel="0" collapsed="false">
      <c r="A16" s="6" t="s">
        <v>304</v>
      </c>
      <c r="B16" s="35" t="n">
        <v>223.5</v>
      </c>
      <c r="C16" s="6" t="s">
        <v>14</v>
      </c>
      <c r="D16" s="6"/>
    </row>
    <row r="17" customFormat="false" ht="15" hidden="false" customHeight="true" outlineLevel="0" collapsed="false">
      <c r="A17" s="10" t="s">
        <v>305</v>
      </c>
      <c r="B17" s="34" t="n">
        <v>62.43</v>
      </c>
      <c r="C17" s="10" t="s">
        <v>7</v>
      </c>
      <c r="D17" s="10"/>
    </row>
    <row r="18" customFormat="false" ht="15" hidden="false" customHeight="true" outlineLevel="0" collapsed="false">
      <c r="A18" s="6" t="s">
        <v>306</v>
      </c>
      <c r="B18" s="35" t="n">
        <v>230.25</v>
      </c>
      <c r="C18" s="6" t="s">
        <v>14</v>
      </c>
      <c r="D18" s="6"/>
    </row>
    <row r="19" customFormat="false" ht="15" hidden="false" customHeight="true" outlineLevel="0" collapsed="false">
      <c r="A19" s="10" t="s">
        <v>307</v>
      </c>
      <c r="B19" s="34" t="n">
        <v>111.98</v>
      </c>
      <c r="C19" s="10" t="s">
        <v>7</v>
      </c>
      <c r="D19" s="10"/>
    </row>
    <row r="20" customFormat="false" ht="15" hidden="false" customHeight="true" outlineLevel="0" collapsed="false">
      <c r="A20" s="6" t="s">
        <v>308</v>
      </c>
      <c r="B20" s="35" t="n">
        <v>41.79</v>
      </c>
      <c r="C20" s="6" t="s">
        <v>14</v>
      </c>
      <c r="D20" s="6"/>
    </row>
    <row r="21" customFormat="false" ht="15" hidden="false" customHeight="true" outlineLevel="0" collapsed="false">
      <c r="A21" s="10" t="s">
        <v>309</v>
      </c>
      <c r="B21" s="34" t="n">
        <v>227.82</v>
      </c>
      <c r="C21" s="10" t="s">
        <v>14</v>
      </c>
      <c r="D21" s="10"/>
    </row>
    <row r="22" customFormat="false" ht="15" hidden="false" customHeight="true" outlineLevel="0" collapsed="false">
      <c r="A22" s="6" t="s">
        <v>140</v>
      </c>
      <c r="B22" s="35" t="n">
        <v>67.9</v>
      </c>
      <c r="C22" s="6" t="s">
        <v>14</v>
      </c>
      <c r="D22" s="6"/>
    </row>
    <row r="23" customFormat="false" ht="15" hidden="false" customHeight="true" outlineLevel="0" collapsed="false">
      <c r="A23" s="10" t="s">
        <v>274</v>
      </c>
      <c r="B23" s="34" t="n">
        <v>865.04</v>
      </c>
      <c r="C23" s="10" t="s">
        <v>14</v>
      </c>
      <c r="D23" s="10"/>
    </row>
    <row r="24" customFormat="false" ht="15" hidden="false" customHeight="true" outlineLevel="0" collapsed="false">
      <c r="A24" s="6" t="s">
        <v>16</v>
      </c>
      <c r="B24" s="35" t="n">
        <v>79.92</v>
      </c>
      <c r="C24" s="6" t="s">
        <v>14</v>
      </c>
      <c r="D24" s="6"/>
    </row>
    <row r="25" customFormat="false" ht="15" hidden="false" customHeight="true" outlineLevel="0" collapsed="false">
      <c r="A25" s="10" t="s">
        <v>17</v>
      </c>
      <c r="B25" s="34" t="n">
        <v>35.11</v>
      </c>
      <c r="C25" s="10" t="s">
        <v>14</v>
      </c>
      <c r="D25" s="10"/>
    </row>
    <row r="26" customFormat="false" ht="15" hidden="false" customHeight="true" outlineLevel="0" collapsed="false">
      <c r="A26" s="6" t="s">
        <v>275</v>
      </c>
      <c r="B26" s="35" t="n">
        <v>64.24</v>
      </c>
      <c r="C26" s="6" t="s">
        <v>14</v>
      </c>
      <c r="D26" s="6"/>
    </row>
    <row r="27" customFormat="false" ht="15" hidden="false" customHeight="true" outlineLevel="0" collapsed="false">
      <c r="A27" s="10" t="s">
        <v>67</v>
      </c>
      <c r="B27" s="34" t="n">
        <v>8</v>
      </c>
      <c r="C27" s="10" t="s">
        <v>14</v>
      </c>
      <c r="D27" s="10"/>
    </row>
    <row r="28" customFormat="false" ht="15" hidden="false" customHeight="true" outlineLevel="0" collapsed="false">
      <c r="A28" s="6" t="s">
        <v>33</v>
      </c>
      <c r="B28" s="35" t="n">
        <v>139.19</v>
      </c>
      <c r="C28" s="6" t="s">
        <v>14</v>
      </c>
      <c r="D28" s="6"/>
    </row>
    <row r="29" customFormat="false" ht="15" hidden="false" customHeight="true" outlineLevel="0" collapsed="false">
      <c r="A29" s="10" t="s">
        <v>310</v>
      </c>
      <c r="B29" s="34" t="n">
        <v>17</v>
      </c>
      <c r="C29" s="10" t="s">
        <v>7</v>
      </c>
      <c r="D29" s="10"/>
    </row>
    <row r="30" customFormat="false" ht="15" hidden="false" customHeight="true" outlineLevel="0" collapsed="false">
      <c r="A30" s="6" t="s">
        <v>31</v>
      </c>
      <c r="B30" s="35" t="n">
        <v>73.22</v>
      </c>
      <c r="C30" s="6" t="s">
        <v>14</v>
      </c>
      <c r="D30" s="6"/>
    </row>
    <row r="31" customFormat="false" ht="15" hidden="false" customHeight="true" outlineLevel="0" collapsed="false">
      <c r="A31" s="10" t="s">
        <v>150</v>
      </c>
      <c r="B31" s="34" t="n">
        <v>17.05</v>
      </c>
      <c r="C31" s="10" t="s">
        <v>7</v>
      </c>
      <c r="D31" s="10"/>
    </row>
    <row r="32" customFormat="false" ht="15" hidden="false" customHeight="true" outlineLevel="0" collapsed="false">
      <c r="A32" s="6" t="s">
        <v>151</v>
      </c>
      <c r="B32" s="35" t="n">
        <v>29.57</v>
      </c>
      <c r="C32" s="6" t="s">
        <v>10</v>
      </c>
      <c r="D32" s="6"/>
    </row>
    <row r="33" customFormat="false" ht="15" hidden="false" customHeight="true" outlineLevel="0" collapsed="false">
      <c r="A33" s="10" t="s">
        <v>124</v>
      </c>
      <c r="B33" s="34" t="n">
        <v>18.56</v>
      </c>
      <c r="C33" s="10" t="s">
        <v>10</v>
      </c>
      <c r="D33" s="10"/>
    </row>
    <row r="34" customFormat="false" ht="15" hidden="false" customHeight="true" outlineLevel="0" collapsed="false">
      <c r="A34" s="6" t="s">
        <v>278</v>
      </c>
      <c r="B34" s="35" t="n">
        <v>15.27</v>
      </c>
      <c r="C34" s="6" t="s">
        <v>7</v>
      </c>
      <c r="D34" s="6"/>
    </row>
    <row r="35" customFormat="false" ht="15" hidden="false" customHeight="true" outlineLevel="0" collapsed="false">
      <c r="A35" s="10" t="s">
        <v>311</v>
      </c>
      <c r="B35" s="34" t="n">
        <v>38.29</v>
      </c>
      <c r="C35" s="10" t="s">
        <v>14</v>
      </c>
      <c r="D35" s="10"/>
    </row>
    <row r="36" customFormat="false" ht="15" hidden="false" customHeight="true" outlineLevel="0" collapsed="false">
      <c r="A36" s="6" t="s">
        <v>312</v>
      </c>
      <c r="B36" s="35" t="n">
        <v>96.47</v>
      </c>
      <c r="C36" s="6" t="s">
        <v>14</v>
      </c>
      <c r="D36" s="6"/>
    </row>
    <row r="37" customFormat="false" ht="15" hidden="false" customHeight="true" outlineLevel="0" collapsed="false">
      <c r="A37" s="10" t="s">
        <v>313</v>
      </c>
      <c r="B37" s="34" t="n">
        <v>719</v>
      </c>
      <c r="C37" s="10" t="s">
        <v>14</v>
      </c>
      <c r="D37" s="10"/>
    </row>
    <row r="38" customFormat="false" ht="15" hidden="false" customHeight="true" outlineLevel="0" collapsed="false">
      <c r="A38" s="6" t="s">
        <v>314</v>
      </c>
      <c r="B38" s="35" t="n">
        <v>157.54</v>
      </c>
      <c r="C38" s="6" t="s">
        <v>14</v>
      </c>
      <c r="D38" s="6"/>
    </row>
    <row r="39" customFormat="false" ht="15" hidden="false" customHeight="true" outlineLevel="0" collapsed="false">
      <c r="A39" s="10" t="s">
        <v>105</v>
      </c>
      <c r="B39" s="34" t="n">
        <v>89.29</v>
      </c>
      <c r="C39" s="10" t="s">
        <v>10</v>
      </c>
      <c r="D39" s="10"/>
    </row>
    <row r="40" customFormat="false" ht="15" hidden="false" customHeight="true" outlineLevel="0" collapsed="false">
      <c r="A40" s="6" t="s">
        <v>104</v>
      </c>
      <c r="B40" s="35" t="n">
        <v>108.9</v>
      </c>
      <c r="C40" s="6" t="s">
        <v>7</v>
      </c>
      <c r="D40" s="6"/>
    </row>
    <row r="41" customFormat="false" ht="15" hidden="false" customHeight="true" outlineLevel="0" collapsed="false">
      <c r="A41" s="10" t="s">
        <v>279</v>
      </c>
      <c r="B41" s="34" t="n">
        <v>491.38</v>
      </c>
      <c r="C41" s="10" t="s">
        <v>7</v>
      </c>
      <c r="D41" s="10"/>
    </row>
    <row r="42" customFormat="false" ht="15" hidden="false" customHeight="true" outlineLevel="0" collapsed="false">
      <c r="A42" s="6" t="s">
        <v>276</v>
      </c>
      <c r="B42" s="35" t="n">
        <v>364.92</v>
      </c>
      <c r="C42" s="6" t="s">
        <v>10</v>
      </c>
      <c r="D42" s="6"/>
    </row>
    <row r="43" customFormat="false" ht="15" hidden="false" customHeight="true" outlineLevel="0" collapsed="false">
      <c r="A43" s="10"/>
      <c r="B43" s="34"/>
      <c r="C43" s="10"/>
      <c r="D43" s="10"/>
    </row>
    <row r="44" customFormat="false" ht="15" hidden="false" customHeight="true" outlineLevel="0" collapsed="false">
      <c r="A44" s="6"/>
      <c r="B44" s="35"/>
      <c r="C44" s="6"/>
      <c r="D44" s="6"/>
    </row>
    <row r="45" customFormat="false" ht="15" hidden="false" customHeight="true" outlineLevel="0" collapsed="false">
      <c r="A45" s="10"/>
      <c r="B45" s="34"/>
      <c r="C45" s="10"/>
      <c r="D45" s="10"/>
    </row>
    <row r="46" customFormat="false" ht="15" hidden="false" customHeight="true" outlineLevel="0" collapsed="false">
      <c r="A46" s="6"/>
      <c r="B46" s="35"/>
      <c r="C46" s="6"/>
      <c r="D46" s="6"/>
    </row>
    <row r="47" customFormat="false" ht="15" hidden="false" customHeight="true" outlineLevel="0" collapsed="false">
      <c r="A47" s="10"/>
      <c r="B47" s="34"/>
      <c r="C47" s="10"/>
      <c r="D47" s="10"/>
    </row>
    <row r="48" customFormat="false" ht="15" hidden="false" customHeight="true" outlineLevel="0" collapsed="false">
      <c r="A48" s="18" t="s">
        <v>38</v>
      </c>
      <c r="B48" s="36" t="n">
        <f aca="false">SUM(B11:B47)</f>
        <v>4997.31</v>
      </c>
      <c r="C48" s="18"/>
      <c r="D48" s="18"/>
    </row>
    <row r="49" customFormat="false" ht="6" hidden="false" customHeight="true" outlineLevel="0" collapsed="false"/>
    <row r="50" customFormat="false" ht="15" hidden="false" customHeight="true" outlineLevel="0" collapsed="false">
      <c r="A50" s="20" t="s">
        <v>39</v>
      </c>
      <c r="B50" s="20"/>
      <c r="C50" s="20"/>
      <c r="D50" s="20"/>
    </row>
    <row r="51" customFormat="false" ht="15" hidden="false" customHeight="true" outlineLevel="0" collapsed="false">
      <c r="A51" s="21" t="s">
        <v>40</v>
      </c>
      <c r="B51" s="37" t="n">
        <f aca="false">B7</f>
        <v>0</v>
      </c>
      <c r="C51" s="23"/>
      <c r="D51" s="23"/>
    </row>
    <row r="52" customFormat="false" ht="15" hidden="false" customHeight="true" outlineLevel="0" collapsed="false">
      <c r="A52" s="24" t="s">
        <v>41</v>
      </c>
      <c r="B52" s="38" t="n">
        <f aca="false">B48</f>
        <v>4997.31</v>
      </c>
      <c r="C52" s="26"/>
      <c r="D52" s="26"/>
    </row>
    <row r="53" customFormat="false" ht="15" hidden="false" customHeight="true" outlineLevel="0" collapsed="false">
      <c r="A53" s="27" t="s">
        <v>42</v>
      </c>
      <c r="B53" s="39" t="n">
        <f aca="false">B51-B52</f>
        <v>-4997.31</v>
      </c>
      <c r="C53" s="29"/>
      <c r="D53" s="29"/>
    </row>
  </sheetData>
  <mergeCells count="7">
    <mergeCell ref="A1:D1"/>
    <mergeCell ref="A3:D3"/>
    <mergeCell ref="A9:D9"/>
    <mergeCell ref="A50:D50"/>
    <mergeCell ref="C51:D51"/>
    <mergeCell ref="C52:D52"/>
    <mergeCell ref="C53:D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315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316</v>
      </c>
      <c r="B11" s="34" t="n">
        <v>64</v>
      </c>
      <c r="C11" s="10" t="s">
        <v>14</v>
      </c>
      <c r="D11" s="10"/>
    </row>
    <row r="12" customFormat="false" ht="15" hidden="false" customHeight="true" outlineLevel="0" collapsed="false">
      <c r="A12" s="6" t="s">
        <v>317</v>
      </c>
      <c r="B12" s="35" t="n">
        <v>115.29</v>
      </c>
      <c r="C12" s="6" t="s">
        <v>14</v>
      </c>
      <c r="D12" s="6"/>
    </row>
    <row r="13" customFormat="false" ht="15" hidden="false" customHeight="true" outlineLevel="0" collapsed="false">
      <c r="A13" s="10" t="s">
        <v>318</v>
      </c>
      <c r="B13" s="34" t="n">
        <v>96.47</v>
      </c>
      <c r="C13" s="10" t="s">
        <v>14</v>
      </c>
      <c r="D13" s="10"/>
    </row>
    <row r="14" customFormat="false" ht="15" hidden="false" customHeight="true" outlineLevel="0" collapsed="false">
      <c r="A14" s="6" t="s">
        <v>140</v>
      </c>
      <c r="B14" s="35" t="n">
        <v>67.9</v>
      </c>
      <c r="C14" s="6" t="s">
        <v>14</v>
      </c>
      <c r="D14" s="6"/>
    </row>
    <row r="15" customFormat="false" ht="15" hidden="false" customHeight="true" outlineLevel="0" collapsed="false">
      <c r="A15" s="10" t="s">
        <v>319</v>
      </c>
      <c r="B15" s="34" t="n">
        <v>230.25</v>
      </c>
      <c r="C15" s="10" t="s">
        <v>14</v>
      </c>
      <c r="D15" s="10"/>
    </row>
    <row r="16" customFormat="false" ht="15" hidden="false" customHeight="true" outlineLevel="0" collapsed="false">
      <c r="A16" s="6" t="s">
        <v>320</v>
      </c>
      <c r="B16" s="35" t="n">
        <v>111.98</v>
      </c>
      <c r="C16" s="6" t="s">
        <v>7</v>
      </c>
      <c r="D16" s="6"/>
    </row>
    <row r="17" customFormat="false" ht="15" hidden="false" customHeight="true" outlineLevel="0" collapsed="false">
      <c r="A17" s="10" t="s">
        <v>321</v>
      </c>
      <c r="B17" s="34" t="n">
        <v>41.79</v>
      </c>
      <c r="C17" s="10" t="s">
        <v>14</v>
      </c>
      <c r="D17" s="10"/>
    </row>
    <row r="18" customFormat="false" ht="15" hidden="false" customHeight="true" outlineLevel="0" collapsed="false">
      <c r="A18" s="6" t="s">
        <v>322</v>
      </c>
      <c r="B18" s="35" t="n">
        <v>62.43</v>
      </c>
      <c r="C18" s="6" t="s">
        <v>7</v>
      </c>
      <c r="D18" s="6"/>
    </row>
    <row r="19" customFormat="false" ht="15" hidden="false" customHeight="true" outlineLevel="0" collapsed="false">
      <c r="A19" s="10" t="s">
        <v>31</v>
      </c>
      <c r="B19" s="34" t="n">
        <v>12.05</v>
      </c>
      <c r="C19" s="10" t="s">
        <v>14</v>
      </c>
      <c r="D19" s="10"/>
    </row>
    <row r="20" customFormat="false" ht="15" hidden="false" customHeight="true" outlineLevel="0" collapsed="false">
      <c r="A20" s="6" t="s">
        <v>150</v>
      </c>
      <c r="B20" s="35" t="n">
        <v>17.34</v>
      </c>
      <c r="C20" s="6" t="s">
        <v>7</v>
      </c>
      <c r="D20" s="6"/>
    </row>
    <row r="21" customFormat="false" ht="15" hidden="false" customHeight="true" outlineLevel="0" collapsed="false">
      <c r="A21" s="10" t="s">
        <v>151</v>
      </c>
      <c r="B21" s="34" t="n">
        <v>24.52</v>
      </c>
      <c r="C21" s="10" t="s">
        <v>10</v>
      </c>
      <c r="D21" s="10"/>
    </row>
    <row r="22" customFormat="false" ht="15" hidden="false" customHeight="true" outlineLevel="0" collapsed="false">
      <c r="A22" s="6" t="s">
        <v>278</v>
      </c>
      <c r="B22" s="35" t="n">
        <v>15.27</v>
      </c>
      <c r="C22" s="6" t="s">
        <v>7</v>
      </c>
      <c r="D22" s="6"/>
    </row>
    <row r="23" customFormat="false" ht="15" hidden="false" customHeight="true" outlineLevel="0" collapsed="false">
      <c r="A23" s="10" t="s">
        <v>124</v>
      </c>
      <c r="B23" s="34" t="n">
        <v>12.83</v>
      </c>
      <c r="C23" s="10" t="s">
        <v>10</v>
      </c>
      <c r="D23" s="10"/>
    </row>
    <row r="24" customFormat="false" ht="15" hidden="false" customHeight="true" outlineLevel="0" collapsed="false">
      <c r="A24" s="6" t="s">
        <v>275</v>
      </c>
      <c r="B24" s="35" t="n">
        <v>62.43</v>
      </c>
      <c r="C24" s="6" t="s">
        <v>14</v>
      </c>
      <c r="D24" s="6"/>
    </row>
    <row r="25" customFormat="false" ht="15" hidden="false" customHeight="true" outlineLevel="0" collapsed="false">
      <c r="A25" s="10" t="s">
        <v>274</v>
      </c>
      <c r="B25" s="34" t="n">
        <v>865.04</v>
      </c>
      <c r="C25" s="10" t="s">
        <v>14</v>
      </c>
      <c r="D25" s="10"/>
    </row>
    <row r="26" customFormat="false" ht="15" hidden="false" customHeight="true" outlineLevel="0" collapsed="false">
      <c r="A26" s="6" t="s">
        <v>16</v>
      </c>
      <c r="B26" s="35" t="n">
        <v>29.92</v>
      </c>
      <c r="C26" s="6" t="s">
        <v>14</v>
      </c>
      <c r="D26" s="6"/>
    </row>
    <row r="27" customFormat="false" ht="15" hidden="false" customHeight="true" outlineLevel="0" collapsed="false">
      <c r="A27" s="10" t="s">
        <v>17</v>
      </c>
      <c r="B27" s="34" t="n">
        <v>35.11</v>
      </c>
      <c r="C27" s="10" t="s">
        <v>14</v>
      </c>
      <c r="D27" s="10"/>
    </row>
    <row r="28" customFormat="false" ht="15" hidden="false" customHeight="true" outlineLevel="0" collapsed="false">
      <c r="A28" s="6" t="s">
        <v>170</v>
      </c>
      <c r="B28" s="35" t="n">
        <v>223.5</v>
      </c>
      <c r="C28" s="6" t="s">
        <v>14</v>
      </c>
      <c r="D28" s="6"/>
    </row>
    <row r="29" customFormat="false" ht="15" hidden="false" customHeight="true" outlineLevel="0" collapsed="false">
      <c r="A29" s="10" t="s">
        <v>33</v>
      </c>
      <c r="B29" s="34" t="n">
        <v>161.99</v>
      </c>
      <c r="C29" s="10" t="s">
        <v>14</v>
      </c>
      <c r="D29" s="10"/>
    </row>
    <row r="30" customFormat="false" ht="15" hidden="false" customHeight="true" outlineLevel="0" collapsed="false">
      <c r="A30" s="6" t="s">
        <v>104</v>
      </c>
      <c r="B30" s="35" t="n">
        <v>429.6</v>
      </c>
      <c r="C30" s="6" t="s">
        <v>7</v>
      </c>
      <c r="D30" s="6"/>
    </row>
    <row r="31" customFormat="false" ht="15" hidden="false" customHeight="true" outlineLevel="0" collapsed="false">
      <c r="A31" s="10" t="s">
        <v>279</v>
      </c>
      <c r="B31" s="34" t="n">
        <v>429.6</v>
      </c>
      <c r="C31" s="10" t="s">
        <v>7</v>
      </c>
      <c r="D31" s="10"/>
    </row>
    <row r="32" customFormat="false" ht="15" hidden="false" customHeight="true" outlineLevel="0" collapsed="false">
      <c r="A32" s="6" t="s">
        <v>105</v>
      </c>
      <c r="B32" s="35" t="n">
        <v>100.42</v>
      </c>
      <c r="C32" s="6" t="s">
        <v>10</v>
      </c>
      <c r="D32" s="6"/>
    </row>
    <row r="33" customFormat="false" ht="15" hidden="false" customHeight="true" outlineLevel="0" collapsed="false">
      <c r="A33" s="10" t="s">
        <v>276</v>
      </c>
      <c r="B33" s="34" t="n">
        <v>139.97</v>
      </c>
      <c r="C33" s="10" t="s">
        <v>10</v>
      </c>
      <c r="D33" s="10"/>
    </row>
    <row r="34" customFormat="false" ht="15" hidden="false" customHeight="true" outlineLevel="0" collapsed="false">
      <c r="A34" s="6" t="s">
        <v>323</v>
      </c>
      <c r="B34" s="35" t="n">
        <v>53.15</v>
      </c>
      <c r="C34" s="6" t="s">
        <v>14</v>
      </c>
      <c r="D34" s="6"/>
    </row>
    <row r="35" customFormat="false" ht="15" hidden="false" customHeight="true" outlineLevel="0" collapsed="false">
      <c r="A35" s="10" t="s">
        <v>122</v>
      </c>
      <c r="B35" s="34" t="n">
        <v>40</v>
      </c>
      <c r="C35" s="10" t="s">
        <v>14</v>
      </c>
      <c r="D35" s="10"/>
    </row>
    <row r="36" customFormat="false" ht="15" hidden="false" customHeight="true" outlineLevel="0" collapsed="false">
      <c r="A36" s="6" t="s">
        <v>324</v>
      </c>
      <c r="B36" s="35" t="n">
        <v>429.6</v>
      </c>
      <c r="C36" s="6" t="s">
        <v>7</v>
      </c>
      <c r="D36" s="6"/>
    </row>
    <row r="37" customFormat="false" ht="15" hidden="false" customHeight="true" outlineLevel="0" collapsed="false">
      <c r="A37" s="10" t="s">
        <v>325</v>
      </c>
      <c r="B37" s="34" t="n">
        <v>4.05</v>
      </c>
      <c r="C37" s="10" t="s">
        <v>14</v>
      </c>
      <c r="D37" s="10"/>
    </row>
    <row r="38" customFormat="false" ht="15" hidden="false" customHeight="true" outlineLevel="0" collapsed="false">
      <c r="A38" s="6" t="s">
        <v>15</v>
      </c>
      <c r="B38" s="35" t="n">
        <v>15.5</v>
      </c>
      <c r="C38" s="6" t="s">
        <v>14</v>
      </c>
      <c r="D38" s="6"/>
    </row>
    <row r="39" customFormat="false" ht="15" hidden="false" customHeight="true" outlineLevel="0" collapsed="false">
      <c r="A39" s="10"/>
      <c r="B39" s="34"/>
      <c r="C39" s="10"/>
      <c r="D39" s="10"/>
    </row>
    <row r="40" customFormat="false" ht="15" hidden="false" customHeight="true" outlineLevel="0" collapsed="false">
      <c r="A40" s="6"/>
      <c r="B40" s="35"/>
      <c r="C40" s="6"/>
      <c r="D40" s="6"/>
    </row>
    <row r="41" customFormat="false" ht="15" hidden="false" customHeight="true" outlineLevel="0" collapsed="false">
      <c r="A41" s="10"/>
      <c r="B41" s="34"/>
      <c r="C41" s="10"/>
      <c r="D41" s="10"/>
    </row>
    <row r="42" customFormat="false" ht="15" hidden="false" customHeight="true" outlineLevel="0" collapsed="false">
      <c r="A42" s="6"/>
      <c r="B42" s="35"/>
      <c r="C42" s="6"/>
      <c r="D42" s="6"/>
    </row>
    <row r="43" customFormat="false" ht="15" hidden="false" customHeight="true" outlineLevel="0" collapsed="false">
      <c r="A43" s="10"/>
      <c r="B43" s="34"/>
      <c r="C43" s="10"/>
      <c r="D43" s="10"/>
    </row>
    <row r="44" customFormat="false" ht="15" hidden="false" customHeight="true" outlineLevel="0" collapsed="false">
      <c r="A44" s="18" t="s">
        <v>38</v>
      </c>
      <c r="B44" s="36" t="n">
        <f aca="false">SUM(B11:B43)</f>
        <v>3892</v>
      </c>
      <c r="C44" s="18"/>
      <c r="D44" s="18"/>
    </row>
    <row r="45" customFormat="false" ht="6" hidden="false" customHeight="true" outlineLevel="0" collapsed="false"/>
    <row r="46" customFormat="false" ht="15" hidden="false" customHeight="true" outlineLevel="0" collapsed="false">
      <c r="A46" s="20" t="s">
        <v>39</v>
      </c>
      <c r="B46" s="20"/>
      <c r="C46" s="20"/>
      <c r="D46" s="20"/>
    </row>
    <row r="47" customFormat="false" ht="15" hidden="false" customHeight="true" outlineLevel="0" collapsed="false">
      <c r="A47" s="21" t="s">
        <v>40</v>
      </c>
      <c r="B47" s="37" t="n">
        <f aca="false">B7</f>
        <v>0</v>
      </c>
      <c r="C47" s="23"/>
      <c r="D47" s="23"/>
    </row>
    <row r="48" customFormat="false" ht="15" hidden="false" customHeight="true" outlineLevel="0" collapsed="false">
      <c r="A48" s="24" t="s">
        <v>41</v>
      </c>
      <c r="B48" s="38" t="n">
        <f aca="false">B44</f>
        <v>3892</v>
      </c>
      <c r="C48" s="26"/>
      <c r="D48" s="26"/>
    </row>
    <row r="49" customFormat="false" ht="15" hidden="false" customHeight="true" outlineLevel="0" collapsed="false">
      <c r="A49" s="27" t="s">
        <v>42</v>
      </c>
      <c r="B49" s="39" t="n">
        <f aca="false">B47-B48</f>
        <v>-3892</v>
      </c>
      <c r="C49" s="29"/>
      <c r="D49" s="29"/>
    </row>
  </sheetData>
  <mergeCells count="7">
    <mergeCell ref="A1:D1"/>
    <mergeCell ref="A3:D3"/>
    <mergeCell ref="A9:D9"/>
    <mergeCell ref="A46:D46"/>
    <mergeCell ref="C47:D47"/>
    <mergeCell ref="C48:D48"/>
    <mergeCell ref="C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326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327</v>
      </c>
      <c r="B11" s="34" t="n">
        <v>64</v>
      </c>
      <c r="C11" s="10" t="s">
        <v>14</v>
      </c>
      <c r="D11" s="10"/>
    </row>
    <row r="12" customFormat="false" ht="15" hidden="false" customHeight="true" outlineLevel="0" collapsed="false">
      <c r="A12" s="6" t="s">
        <v>328</v>
      </c>
      <c r="B12" s="35" t="n">
        <v>115.84</v>
      </c>
      <c r="C12" s="6" t="s">
        <v>14</v>
      </c>
      <c r="D12" s="6"/>
    </row>
    <row r="13" customFormat="false" ht="15" hidden="false" customHeight="true" outlineLevel="0" collapsed="false">
      <c r="A13" s="10" t="s">
        <v>329</v>
      </c>
      <c r="B13" s="34" t="n">
        <v>227.82</v>
      </c>
      <c r="C13" s="10" t="s">
        <v>14</v>
      </c>
      <c r="D13" s="10"/>
    </row>
    <row r="14" customFormat="false" ht="15" hidden="false" customHeight="true" outlineLevel="0" collapsed="false">
      <c r="A14" s="6" t="s">
        <v>330</v>
      </c>
      <c r="B14" s="35" t="n">
        <v>230.25</v>
      </c>
      <c r="C14" s="6" t="s">
        <v>14</v>
      </c>
      <c r="D14" s="6"/>
    </row>
    <row r="15" customFormat="false" ht="15" hidden="false" customHeight="true" outlineLevel="0" collapsed="false">
      <c r="A15" s="10" t="s">
        <v>331</v>
      </c>
      <c r="B15" s="34" t="n">
        <v>111.98</v>
      </c>
      <c r="C15" s="10" t="s">
        <v>7</v>
      </c>
      <c r="D15" s="10"/>
    </row>
    <row r="16" customFormat="false" ht="15" hidden="false" customHeight="true" outlineLevel="0" collapsed="false">
      <c r="A16" s="6" t="s">
        <v>332</v>
      </c>
      <c r="B16" s="35" t="n">
        <v>41.79</v>
      </c>
      <c r="C16" s="6" t="s">
        <v>14</v>
      </c>
      <c r="D16" s="6"/>
    </row>
    <row r="17" customFormat="false" ht="15" hidden="false" customHeight="true" outlineLevel="0" collapsed="false">
      <c r="A17" s="10" t="s">
        <v>333</v>
      </c>
      <c r="B17" s="34" t="n">
        <v>62.43</v>
      </c>
      <c r="C17" s="10" t="s">
        <v>7</v>
      </c>
      <c r="D17" s="10"/>
    </row>
    <row r="18" customFormat="false" ht="15" hidden="false" customHeight="true" outlineLevel="0" collapsed="false">
      <c r="A18" s="6" t="s">
        <v>31</v>
      </c>
      <c r="B18" s="35" t="n">
        <v>50</v>
      </c>
      <c r="C18" s="6" t="s">
        <v>14</v>
      </c>
      <c r="D18" s="6"/>
    </row>
    <row r="19" customFormat="false" ht="15" hidden="false" customHeight="true" outlineLevel="0" collapsed="false">
      <c r="A19" s="10" t="s">
        <v>150</v>
      </c>
      <c r="B19" s="34" t="n">
        <v>17.05</v>
      </c>
      <c r="C19" s="10" t="s">
        <v>7</v>
      </c>
      <c r="D19" s="10"/>
    </row>
    <row r="20" customFormat="false" ht="15" hidden="false" customHeight="true" outlineLevel="0" collapsed="false">
      <c r="A20" s="6" t="s">
        <v>151</v>
      </c>
      <c r="B20" s="35" t="n">
        <v>29.59</v>
      </c>
      <c r="C20" s="6" t="s">
        <v>10</v>
      </c>
      <c r="D20" s="6"/>
    </row>
    <row r="21" customFormat="false" ht="15" hidden="false" customHeight="true" outlineLevel="0" collapsed="false">
      <c r="A21" s="10" t="s">
        <v>124</v>
      </c>
      <c r="B21" s="34" t="n">
        <v>18.56</v>
      </c>
      <c r="C21" s="10" t="s">
        <v>10</v>
      </c>
      <c r="D21" s="10"/>
    </row>
    <row r="22" customFormat="false" ht="15" hidden="false" customHeight="true" outlineLevel="0" collapsed="false">
      <c r="A22" s="6" t="s">
        <v>278</v>
      </c>
      <c r="B22" s="35" t="n">
        <v>15.27</v>
      </c>
      <c r="C22" s="6" t="s">
        <v>7</v>
      </c>
      <c r="D22" s="6"/>
    </row>
    <row r="23" customFormat="false" ht="15" hidden="false" customHeight="true" outlineLevel="0" collapsed="false">
      <c r="A23" s="10" t="s">
        <v>274</v>
      </c>
      <c r="B23" s="34" t="n">
        <v>865.04</v>
      </c>
      <c r="C23" s="10" t="s">
        <v>14</v>
      </c>
      <c r="D23" s="10"/>
    </row>
    <row r="24" customFormat="false" ht="15" hidden="false" customHeight="true" outlineLevel="0" collapsed="false">
      <c r="A24" s="6" t="s">
        <v>17</v>
      </c>
      <c r="B24" s="35" t="n">
        <v>35.11</v>
      </c>
      <c r="C24" s="6" t="s">
        <v>14</v>
      </c>
      <c r="D24" s="6"/>
    </row>
    <row r="25" customFormat="false" ht="15" hidden="false" customHeight="true" outlineLevel="0" collapsed="false">
      <c r="A25" s="10" t="s">
        <v>334</v>
      </c>
      <c r="B25" s="34" t="n">
        <v>79</v>
      </c>
      <c r="C25" s="10" t="s">
        <v>14</v>
      </c>
      <c r="D25" s="10"/>
    </row>
    <row r="26" customFormat="false" ht="15" hidden="false" customHeight="true" outlineLevel="0" collapsed="false">
      <c r="A26" s="6" t="s">
        <v>16</v>
      </c>
      <c r="B26" s="35" t="n">
        <v>35.17</v>
      </c>
      <c r="C26" s="6" t="s">
        <v>14</v>
      </c>
      <c r="D26" s="6"/>
    </row>
    <row r="27" customFormat="false" ht="15" hidden="false" customHeight="true" outlineLevel="0" collapsed="false">
      <c r="A27" s="10" t="s">
        <v>170</v>
      </c>
      <c r="B27" s="34" t="n">
        <v>223.5</v>
      </c>
      <c r="C27" s="10" t="s">
        <v>14</v>
      </c>
      <c r="D27" s="10"/>
    </row>
    <row r="28" customFormat="false" ht="15" hidden="false" customHeight="true" outlineLevel="0" collapsed="false">
      <c r="A28" s="6" t="s">
        <v>33</v>
      </c>
      <c r="B28" s="35" t="n">
        <v>81.25</v>
      </c>
      <c r="C28" s="6" t="s">
        <v>14</v>
      </c>
      <c r="D28" s="6"/>
    </row>
    <row r="29" customFormat="false" ht="15" hidden="false" customHeight="true" outlineLevel="0" collapsed="false">
      <c r="A29" s="10" t="s">
        <v>104</v>
      </c>
      <c r="B29" s="34" t="n">
        <v>496.71</v>
      </c>
      <c r="C29" s="10" t="s">
        <v>7</v>
      </c>
      <c r="D29" s="10"/>
    </row>
    <row r="30" customFormat="false" ht="15" hidden="false" customHeight="true" outlineLevel="0" collapsed="false">
      <c r="A30" s="6" t="s">
        <v>105</v>
      </c>
      <c r="B30" s="35" t="n">
        <v>223.5</v>
      </c>
      <c r="C30" s="6" t="s">
        <v>14</v>
      </c>
      <c r="D30" s="6"/>
    </row>
    <row r="31" customFormat="false" ht="15" hidden="false" customHeight="true" outlineLevel="0" collapsed="false">
      <c r="A31" s="10" t="s">
        <v>279</v>
      </c>
      <c r="B31" s="34" t="n">
        <v>496.71</v>
      </c>
      <c r="C31" s="10" t="s">
        <v>7</v>
      </c>
      <c r="D31" s="10"/>
    </row>
    <row r="32" customFormat="false" ht="15" hidden="false" customHeight="true" outlineLevel="0" collapsed="false">
      <c r="A32" s="6" t="s">
        <v>335</v>
      </c>
      <c r="B32" s="35" t="n">
        <v>157.57</v>
      </c>
      <c r="C32" s="6" t="s">
        <v>14</v>
      </c>
      <c r="D32" s="6"/>
    </row>
    <row r="33" customFormat="false" ht="15" hidden="false" customHeight="true" outlineLevel="0" collapsed="false">
      <c r="A33" s="10" t="s">
        <v>336</v>
      </c>
      <c r="B33" s="34" t="n">
        <v>22.77</v>
      </c>
      <c r="C33" s="10" t="s">
        <v>14</v>
      </c>
      <c r="D33" s="10"/>
    </row>
    <row r="34" customFormat="false" ht="15" hidden="false" customHeight="true" outlineLevel="0" collapsed="false">
      <c r="A34" s="6" t="s">
        <v>337</v>
      </c>
      <c r="B34" s="35" t="n">
        <v>159.57</v>
      </c>
      <c r="C34" s="6" t="s">
        <v>14</v>
      </c>
      <c r="D34" s="6"/>
    </row>
    <row r="35" customFormat="false" ht="15" hidden="false" customHeight="true" outlineLevel="0" collapsed="false">
      <c r="A35" s="10" t="s">
        <v>205</v>
      </c>
      <c r="B35" s="34" t="n">
        <v>7</v>
      </c>
      <c r="C35" s="10" t="s">
        <v>7</v>
      </c>
      <c r="D35" s="10"/>
    </row>
    <row r="36" customFormat="false" ht="15" hidden="false" customHeight="true" outlineLevel="0" collapsed="false">
      <c r="A36" s="6" t="s">
        <v>338</v>
      </c>
      <c r="B36" s="35" t="n">
        <v>64.29</v>
      </c>
      <c r="C36" s="6" t="s">
        <v>10</v>
      </c>
      <c r="D36" s="6"/>
    </row>
    <row r="37" customFormat="false" ht="15" hidden="false" customHeight="true" outlineLevel="0" collapsed="false">
      <c r="A37" s="10" t="s">
        <v>339</v>
      </c>
      <c r="B37" s="34" t="n">
        <v>201.2</v>
      </c>
      <c r="C37" s="10" t="s">
        <v>14</v>
      </c>
      <c r="D37" s="10"/>
    </row>
    <row r="38" customFormat="false" ht="15" hidden="false" customHeight="true" outlineLevel="0" collapsed="false">
      <c r="A38" s="6" t="s">
        <v>122</v>
      </c>
      <c r="B38" s="35" t="n">
        <v>40</v>
      </c>
      <c r="C38" s="6" t="s">
        <v>14</v>
      </c>
      <c r="D38" s="6"/>
    </row>
    <row r="39" customFormat="false" ht="15" hidden="false" customHeight="true" outlineLevel="0" collapsed="false">
      <c r="A39" s="10" t="s">
        <v>340</v>
      </c>
      <c r="B39" s="34" t="n">
        <v>60.29</v>
      </c>
      <c r="C39" s="10" t="s">
        <v>14</v>
      </c>
      <c r="D39" s="10"/>
    </row>
    <row r="40" customFormat="false" ht="15" hidden="false" customHeight="true" outlineLevel="0" collapsed="false">
      <c r="A40" s="6"/>
      <c r="B40" s="35"/>
      <c r="C40" s="6"/>
      <c r="D40" s="6"/>
    </row>
    <row r="41" customFormat="false" ht="15" hidden="false" customHeight="true" outlineLevel="0" collapsed="false">
      <c r="A41" s="10"/>
      <c r="B41" s="34"/>
      <c r="C41" s="10"/>
      <c r="D41" s="10"/>
    </row>
    <row r="42" customFormat="false" ht="15" hidden="false" customHeight="true" outlineLevel="0" collapsed="false">
      <c r="A42" s="6"/>
      <c r="B42" s="35"/>
      <c r="C42" s="6"/>
      <c r="D42" s="6"/>
    </row>
    <row r="43" customFormat="false" ht="15" hidden="false" customHeight="true" outlineLevel="0" collapsed="false">
      <c r="A43" s="10"/>
      <c r="B43" s="34"/>
      <c r="C43" s="10"/>
      <c r="D43" s="10"/>
    </row>
    <row r="44" customFormat="false" ht="15" hidden="false" customHeight="true" outlineLevel="0" collapsed="false">
      <c r="A44" s="6"/>
      <c r="B44" s="35"/>
      <c r="C44" s="6"/>
      <c r="D44" s="6"/>
    </row>
    <row r="45" customFormat="false" ht="15" hidden="false" customHeight="true" outlineLevel="0" collapsed="false">
      <c r="A45" s="18" t="s">
        <v>38</v>
      </c>
      <c r="B45" s="36" t="n">
        <f aca="false">SUM(B11:B44)</f>
        <v>4233.26</v>
      </c>
      <c r="C45" s="18"/>
      <c r="D45" s="18"/>
    </row>
    <row r="46" customFormat="false" ht="6" hidden="false" customHeight="true" outlineLevel="0" collapsed="false"/>
    <row r="47" customFormat="false" ht="15" hidden="false" customHeight="true" outlineLevel="0" collapsed="false">
      <c r="A47" s="20" t="s">
        <v>39</v>
      </c>
      <c r="B47" s="20"/>
      <c r="C47" s="20"/>
      <c r="D47" s="20"/>
    </row>
    <row r="48" customFormat="false" ht="15" hidden="false" customHeight="true" outlineLevel="0" collapsed="false">
      <c r="A48" s="21" t="s">
        <v>40</v>
      </c>
      <c r="B48" s="37" t="n">
        <f aca="false">B7</f>
        <v>0</v>
      </c>
      <c r="C48" s="23"/>
      <c r="D48" s="23"/>
    </row>
    <row r="49" customFormat="false" ht="15" hidden="false" customHeight="true" outlineLevel="0" collapsed="false">
      <c r="A49" s="24" t="s">
        <v>41</v>
      </c>
      <c r="B49" s="38" t="n">
        <f aca="false">B45</f>
        <v>4233.26</v>
      </c>
      <c r="C49" s="26"/>
      <c r="D49" s="26"/>
    </row>
    <row r="50" customFormat="false" ht="15" hidden="false" customHeight="true" outlineLevel="0" collapsed="false">
      <c r="A50" s="27" t="s">
        <v>42</v>
      </c>
      <c r="B50" s="39" t="n">
        <f aca="false">B48-B49</f>
        <v>-4233.26</v>
      </c>
      <c r="C50" s="29"/>
      <c r="D50" s="29"/>
    </row>
  </sheetData>
  <mergeCells count="7">
    <mergeCell ref="A1:D1"/>
    <mergeCell ref="A3:D3"/>
    <mergeCell ref="A9:D9"/>
    <mergeCell ref="A47:D47"/>
    <mergeCell ref="C48:D48"/>
    <mergeCell ref="C49:D49"/>
    <mergeCell ref="C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341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342</v>
      </c>
      <c r="B11" s="34" t="n">
        <v>64</v>
      </c>
      <c r="C11" s="10" t="s">
        <v>14</v>
      </c>
      <c r="D11" s="10"/>
    </row>
    <row r="12" customFormat="false" ht="15" hidden="false" customHeight="true" outlineLevel="0" collapsed="false">
      <c r="A12" s="6" t="s">
        <v>140</v>
      </c>
      <c r="B12" s="35" t="n">
        <v>67.9</v>
      </c>
      <c r="C12" s="6" t="s">
        <v>14</v>
      </c>
      <c r="D12" s="6"/>
    </row>
    <row r="13" customFormat="false" ht="15" hidden="false" customHeight="true" outlineLevel="0" collapsed="false">
      <c r="A13" s="10" t="s">
        <v>343</v>
      </c>
      <c r="B13" s="34" t="n">
        <v>230.25</v>
      </c>
      <c r="C13" s="10" t="s">
        <v>14</v>
      </c>
      <c r="D13" s="10" t="s">
        <v>344</v>
      </c>
    </row>
    <row r="14" customFormat="false" ht="15" hidden="false" customHeight="true" outlineLevel="0" collapsed="false">
      <c r="A14" s="6" t="s">
        <v>345</v>
      </c>
      <c r="B14" s="35" t="n">
        <v>111.98</v>
      </c>
      <c r="C14" s="6" t="s">
        <v>7</v>
      </c>
      <c r="D14" s="6"/>
    </row>
    <row r="15" customFormat="false" ht="15" hidden="false" customHeight="true" outlineLevel="0" collapsed="false">
      <c r="A15" s="10" t="s">
        <v>346</v>
      </c>
      <c r="B15" s="34" t="n">
        <v>41.79</v>
      </c>
      <c r="C15" s="10" t="s">
        <v>14</v>
      </c>
      <c r="D15" s="10"/>
    </row>
    <row r="16" customFormat="false" ht="15" hidden="false" customHeight="true" outlineLevel="0" collapsed="false">
      <c r="A16" s="6" t="s">
        <v>347</v>
      </c>
      <c r="B16" s="35" t="n">
        <v>62.43</v>
      </c>
      <c r="C16" s="6" t="s">
        <v>7</v>
      </c>
      <c r="D16" s="6"/>
    </row>
    <row r="17" customFormat="false" ht="15" hidden="false" customHeight="true" outlineLevel="0" collapsed="false">
      <c r="A17" s="10" t="s">
        <v>31</v>
      </c>
      <c r="B17" s="34" t="n">
        <v>72.74</v>
      </c>
      <c r="C17" s="10" t="s">
        <v>14</v>
      </c>
      <c r="D17" s="10"/>
    </row>
    <row r="18" customFormat="false" ht="15" hidden="false" customHeight="true" outlineLevel="0" collapsed="false">
      <c r="A18" s="6" t="s">
        <v>150</v>
      </c>
      <c r="B18" s="35" t="n">
        <v>17.05</v>
      </c>
      <c r="C18" s="6" t="s">
        <v>7</v>
      </c>
      <c r="D18" s="6"/>
    </row>
    <row r="19" customFormat="false" ht="15" hidden="false" customHeight="true" outlineLevel="0" collapsed="false">
      <c r="A19" s="10" t="s">
        <v>151</v>
      </c>
      <c r="B19" s="34" t="n">
        <v>29.57</v>
      </c>
      <c r="C19" s="10" t="s">
        <v>10</v>
      </c>
      <c r="D19" s="10"/>
    </row>
    <row r="20" customFormat="false" ht="15" hidden="false" customHeight="true" outlineLevel="0" collapsed="false">
      <c r="A20" s="6" t="s">
        <v>124</v>
      </c>
      <c r="B20" s="35" t="n">
        <v>18.56</v>
      </c>
      <c r="C20" s="6" t="s">
        <v>10</v>
      </c>
      <c r="D20" s="6"/>
    </row>
    <row r="21" customFormat="false" ht="15" hidden="false" customHeight="true" outlineLevel="0" collapsed="false">
      <c r="A21" s="10" t="s">
        <v>278</v>
      </c>
      <c r="B21" s="34" t="n">
        <v>15.27</v>
      </c>
      <c r="C21" s="10" t="s">
        <v>7</v>
      </c>
      <c r="D21" s="10"/>
    </row>
    <row r="22" customFormat="false" ht="15" hidden="false" customHeight="true" outlineLevel="0" collapsed="false">
      <c r="A22" s="6" t="s">
        <v>275</v>
      </c>
      <c r="B22" s="35" t="n">
        <v>64.24</v>
      </c>
      <c r="C22" s="6" t="s">
        <v>14</v>
      </c>
      <c r="D22" s="6"/>
    </row>
    <row r="23" customFormat="false" ht="15" hidden="false" customHeight="true" outlineLevel="0" collapsed="false">
      <c r="A23" s="10" t="s">
        <v>274</v>
      </c>
      <c r="B23" s="34" t="n">
        <v>865.04</v>
      </c>
      <c r="C23" s="10" t="s">
        <v>14</v>
      </c>
      <c r="D23" s="10"/>
    </row>
    <row r="24" customFormat="false" ht="15" hidden="false" customHeight="true" outlineLevel="0" collapsed="false">
      <c r="A24" s="6" t="s">
        <v>17</v>
      </c>
      <c r="B24" s="35" t="n">
        <v>35.11</v>
      </c>
      <c r="C24" s="6" t="s">
        <v>14</v>
      </c>
      <c r="D24" s="6"/>
    </row>
    <row r="25" customFormat="false" ht="15" hidden="false" customHeight="true" outlineLevel="0" collapsed="false">
      <c r="A25" s="10" t="s">
        <v>16</v>
      </c>
      <c r="B25" s="34" t="n">
        <v>101.5</v>
      </c>
      <c r="C25" s="10" t="s">
        <v>14</v>
      </c>
      <c r="D25" s="10"/>
    </row>
    <row r="26" customFormat="false" ht="15" hidden="false" customHeight="true" outlineLevel="0" collapsed="false">
      <c r="A26" s="6" t="s">
        <v>33</v>
      </c>
      <c r="B26" s="35" t="n">
        <v>49.08</v>
      </c>
      <c r="C26" s="6" t="s">
        <v>14</v>
      </c>
      <c r="D26" s="6"/>
    </row>
    <row r="27" customFormat="false" ht="15" hidden="false" customHeight="true" outlineLevel="0" collapsed="false">
      <c r="A27" s="10" t="s">
        <v>348</v>
      </c>
      <c r="B27" s="34" t="n">
        <v>71.37</v>
      </c>
      <c r="C27" s="10" t="s">
        <v>14</v>
      </c>
      <c r="D27" s="10"/>
    </row>
    <row r="28" customFormat="false" ht="15" hidden="false" customHeight="true" outlineLevel="0" collapsed="false">
      <c r="A28" s="6" t="s">
        <v>349</v>
      </c>
      <c r="B28" s="35" t="n">
        <v>130</v>
      </c>
      <c r="C28" s="6" t="s">
        <v>14</v>
      </c>
      <c r="D28" s="6"/>
    </row>
    <row r="29" customFormat="false" ht="15" hidden="false" customHeight="true" outlineLevel="0" collapsed="false">
      <c r="A29" s="10" t="s">
        <v>350</v>
      </c>
      <c r="B29" s="34" t="n">
        <v>223.5</v>
      </c>
      <c r="C29" s="10" t="s">
        <v>14</v>
      </c>
      <c r="D29" s="10"/>
    </row>
    <row r="30" customFormat="false" ht="15" hidden="false" customHeight="true" outlineLevel="0" collapsed="false">
      <c r="A30" s="6" t="s">
        <v>208</v>
      </c>
      <c r="B30" s="35" t="n">
        <v>39.14</v>
      </c>
      <c r="C30" s="6" t="s">
        <v>14</v>
      </c>
      <c r="D30" s="6"/>
    </row>
    <row r="31" customFormat="false" ht="15" hidden="false" customHeight="true" outlineLevel="0" collapsed="false">
      <c r="A31" s="10" t="s">
        <v>351</v>
      </c>
      <c r="B31" s="34" t="n">
        <v>24</v>
      </c>
      <c r="C31" s="10" t="s">
        <v>14</v>
      </c>
      <c r="D31" s="10"/>
    </row>
    <row r="32" customFormat="false" ht="15" hidden="false" customHeight="true" outlineLevel="0" collapsed="false">
      <c r="A32" s="6" t="s">
        <v>352</v>
      </c>
      <c r="B32" s="35" t="n">
        <v>49.08</v>
      </c>
      <c r="C32" s="6" t="s">
        <v>14</v>
      </c>
      <c r="D32" s="6"/>
    </row>
    <row r="33" customFormat="false" ht="15" hidden="false" customHeight="true" outlineLevel="0" collapsed="false">
      <c r="A33" s="10" t="s">
        <v>353</v>
      </c>
      <c r="B33" s="34" t="n">
        <v>60.12</v>
      </c>
      <c r="C33" s="10" t="s">
        <v>14</v>
      </c>
      <c r="D33" s="10"/>
    </row>
    <row r="34" customFormat="false" ht="15" hidden="false" customHeight="true" outlineLevel="0" collapsed="false">
      <c r="A34" s="6" t="s">
        <v>104</v>
      </c>
      <c r="B34" s="35" t="n">
        <v>68.12</v>
      </c>
      <c r="C34" s="6" t="s">
        <v>7</v>
      </c>
      <c r="D34" s="6"/>
    </row>
    <row r="35" customFormat="false" ht="15" hidden="false" customHeight="true" outlineLevel="0" collapsed="false">
      <c r="A35" s="10" t="s">
        <v>279</v>
      </c>
      <c r="B35" s="34" t="n">
        <v>497.08</v>
      </c>
      <c r="C35" s="10" t="s">
        <v>7</v>
      </c>
      <c r="D35" s="10"/>
    </row>
    <row r="36" customFormat="false" ht="15" hidden="false" customHeight="true" outlineLevel="0" collapsed="false">
      <c r="A36" s="6" t="s">
        <v>105</v>
      </c>
      <c r="B36" s="35" t="n">
        <v>44.2</v>
      </c>
      <c r="C36" s="6" t="s">
        <v>10</v>
      </c>
      <c r="D36" s="6"/>
    </row>
    <row r="37" customFormat="false" ht="15" hidden="false" customHeight="true" outlineLevel="0" collapsed="false">
      <c r="A37" s="10" t="s">
        <v>354</v>
      </c>
      <c r="B37" s="34" t="n">
        <v>202</v>
      </c>
      <c r="C37" s="10" t="s">
        <v>14</v>
      </c>
      <c r="D37" s="10"/>
    </row>
    <row r="38" customFormat="false" ht="15" hidden="false" customHeight="true" outlineLevel="0" collapsed="false">
      <c r="A38" s="6" t="s">
        <v>355</v>
      </c>
      <c r="B38" s="35" t="n">
        <v>44.2</v>
      </c>
      <c r="C38" s="6" t="s">
        <v>14</v>
      </c>
      <c r="D38" s="6"/>
    </row>
    <row r="39" customFormat="false" ht="15" hidden="false" customHeight="true" outlineLevel="0" collapsed="false">
      <c r="A39" s="10" t="s">
        <v>356</v>
      </c>
      <c r="B39" s="34" t="n">
        <v>420</v>
      </c>
      <c r="C39" s="10" t="s">
        <v>14</v>
      </c>
      <c r="D39" s="10"/>
    </row>
    <row r="40" customFormat="false" ht="15" hidden="false" customHeight="true" outlineLevel="0" collapsed="false">
      <c r="A40" s="6" t="s">
        <v>357</v>
      </c>
      <c r="B40" s="35" t="n">
        <v>174.56</v>
      </c>
      <c r="C40" s="6" t="s">
        <v>14</v>
      </c>
      <c r="D40" s="6"/>
    </row>
    <row r="41" customFormat="false" ht="15" hidden="false" customHeight="true" outlineLevel="0" collapsed="false">
      <c r="A41" s="10" t="s">
        <v>358</v>
      </c>
      <c r="B41" s="34" t="n">
        <v>87.39</v>
      </c>
      <c r="C41" s="10" t="s">
        <v>14</v>
      </c>
      <c r="D41" s="10"/>
    </row>
    <row r="42" customFormat="false" ht="15" hidden="false" customHeight="true" outlineLevel="0" collapsed="false">
      <c r="A42" s="6" t="s">
        <v>359</v>
      </c>
      <c r="B42" s="35" t="n">
        <v>19</v>
      </c>
      <c r="C42" s="6" t="s">
        <v>7</v>
      </c>
      <c r="D42" s="6"/>
    </row>
    <row r="43" customFormat="false" ht="15" hidden="false" customHeight="true" outlineLevel="0" collapsed="false">
      <c r="A43" s="10"/>
      <c r="B43" s="34"/>
      <c r="C43" s="10"/>
      <c r="D43" s="10"/>
    </row>
    <row r="44" customFormat="false" ht="15" hidden="false" customHeight="true" outlineLevel="0" collapsed="false">
      <c r="A44" s="6"/>
      <c r="B44" s="35"/>
      <c r="C44" s="6"/>
      <c r="D44" s="6"/>
    </row>
    <row r="45" customFormat="false" ht="15" hidden="false" customHeight="true" outlineLevel="0" collapsed="false">
      <c r="A45" s="10"/>
      <c r="B45" s="34"/>
      <c r="C45" s="10"/>
      <c r="D45" s="10"/>
    </row>
    <row r="46" customFormat="false" ht="15" hidden="false" customHeight="true" outlineLevel="0" collapsed="false">
      <c r="A46" s="6"/>
      <c r="B46" s="35"/>
      <c r="C46" s="6"/>
      <c r="D46" s="6"/>
    </row>
    <row r="47" customFormat="false" ht="15" hidden="false" customHeight="true" outlineLevel="0" collapsed="false">
      <c r="A47" s="10"/>
      <c r="B47" s="34"/>
      <c r="C47" s="10"/>
      <c r="D47" s="10"/>
    </row>
    <row r="48" customFormat="false" ht="15" hidden="false" customHeight="true" outlineLevel="0" collapsed="false">
      <c r="A48" s="18" t="s">
        <v>38</v>
      </c>
      <c r="B48" s="36" t="n">
        <f aca="false">SUM(B11:B47)</f>
        <v>4000.27</v>
      </c>
      <c r="C48" s="18"/>
      <c r="D48" s="18"/>
    </row>
    <row r="49" customFormat="false" ht="6" hidden="false" customHeight="true" outlineLevel="0" collapsed="false"/>
    <row r="50" customFormat="false" ht="15" hidden="false" customHeight="true" outlineLevel="0" collapsed="false">
      <c r="A50" s="20" t="s">
        <v>39</v>
      </c>
      <c r="B50" s="20"/>
      <c r="C50" s="20"/>
      <c r="D50" s="20"/>
    </row>
    <row r="51" customFormat="false" ht="15" hidden="false" customHeight="true" outlineLevel="0" collapsed="false">
      <c r="A51" s="21" t="s">
        <v>40</v>
      </c>
      <c r="B51" s="37" t="n">
        <f aca="false">B7</f>
        <v>0</v>
      </c>
      <c r="C51" s="23"/>
      <c r="D51" s="23"/>
    </row>
    <row r="52" customFormat="false" ht="15" hidden="false" customHeight="true" outlineLevel="0" collapsed="false">
      <c r="A52" s="24" t="s">
        <v>41</v>
      </c>
      <c r="B52" s="38" t="n">
        <f aca="false">B48</f>
        <v>4000.27</v>
      </c>
      <c r="C52" s="26"/>
      <c r="D52" s="26"/>
    </row>
    <row r="53" customFormat="false" ht="15" hidden="false" customHeight="true" outlineLevel="0" collapsed="false">
      <c r="A53" s="27" t="s">
        <v>42</v>
      </c>
      <c r="B53" s="39" t="n">
        <f aca="false">B51-B52</f>
        <v>-4000.27</v>
      </c>
      <c r="C53" s="29"/>
      <c r="D53" s="29"/>
    </row>
  </sheetData>
  <mergeCells count="7">
    <mergeCell ref="A1:D1"/>
    <mergeCell ref="A3:D3"/>
    <mergeCell ref="A9:D9"/>
    <mergeCell ref="A50:D50"/>
    <mergeCell ref="C51:D51"/>
    <mergeCell ref="C52:D52"/>
    <mergeCell ref="C53:D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360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361</v>
      </c>
      <c r="B11" s="34" t="n">
        <v>64</v>
      </c>
      <c r="C11" s="10" t="s">
        <v>14</v>
      </c>
      <c r="D11" s="10"/>
    </row>
    <row r="12" customFormat="false" ht="15" hidden="false" customHeight="true" outlineLevel="0" collapsed="false">
      <c r="A12" s="6" t="s">
        <v>140</v>
      </c>
      <c r="B12" s="35" t="n">
        <v>67.9</v>
      </c>
      <c r="C12" s="6" t="s">
        <v>14</v>
      </c>
      <c r="D12" s="6"/>
    </row>
    <row r="13" customFormat="false" ht="15" hidden="false" customHeight="true" outlineLevel="0" collapsed="false">
      <c r="A13" s="10" t="s">
        <v>362</v>
      </c>
      <c r="B13" s="34" t="n">
        <v>230.25</v>
      </c>
      <c r="C13" s="10" t="s">
        <v>14</v>
      </c>
      <c r="D13" s="10" t="s">
        <v>344</v>
      </c>
    </row>
    <row r="14" customFormat="false" ht="15" hidden="false" customHeight="true" outlineLevel="0" collapsed="false">
      <c r="A14" s="6" t="s">
        <v>363</v>
      </c>
      <c r="B14" s="35" t="n">
        <v>111.98</v>
      </c>
      <c r="C14" s="6" t="s">
        <v>7</v>
      </c>
      <c r="D14" s="6"/>
    </row>
    <row r="15" customFormat="false" ht="15" hidden="false" customHeight="true" outlineLevel="0" collapsed="false">
      <c r="A15" s="10" t="s">
        <v>364</v>
      </c>
      <c r="B15" s="34" t="n">
        <v>41.79</v>
      </c>
      <c r="C15" s="10" t="s">
        <v>14</v>
      </c>
      <c r="D15" s="10"/>
    </row>
    <row r="16" customFormat="false" ht="15" hidden="false" customHeight="true" outlineLevel="0" collapsed="false">
      <c r="A16" s="6" t="s">
        <v>365</v>
      </c>
      <c r="B16" s="35" t="n">
        <v>62.43</v>
      </c>
      <c r="C16" s="6" t="s">
        <v>7</v>
      </c>
      <c r="D16" s="6"/>
    </row>
    <row r="17" customFormat="false" ht="15" hidden="false" customHeight="true" outlineLevel="0" collapsed="false">
      <c r="A17" s="10" t="s">
        <v>31</v>
      </c>
      <c r="B17" s="34" t="n">
        <v>84.71</v>
      </c>
      <c r="C17" s="10" t="s">
        <v>14</v>
      </c>
      <c r="D17" s="10"/>
    </row>
    <row r="18" customFormat="false" ht="15" hidden="false" customHeight="true" outlineLevel="0" collapsed="false">
      <c r="A18" s="6" t="s">
        <v>150</v>
      </c>
      <c r="B18" s="35" t="n">
        <v>17.05</v>
      </c>
      <c r="C18" s="6" t="s">
        <v>7</v>
      </c>
      <c r="D18" s="6"/>
    </row>
    <row r="19" customFormat="false" ht="15" hidden="false" customHeight="true" outlineLevel="0" collapsed="false">
      <c r="A19" s="10" t="s">
        <v>151</v>
      </c>
      <c r="B19" s="34" t="n">
        <v>29.57</v>
      </c>
      <c r="C19" s="10" t="s">
        <v>10</v>
      </c>
      <c r="D19" s="10"/>
    </row>
    <row r="20" customFormat="false" ht="15" hidden="false" customHeight="true" outlineLevel="0" collapsed="false">
      <c r="A20" s="6" t="s">
        <v>124</v>
      </c>
      <c r="B20" s="35" t="n">
        <v>18.56</v>
      </c>
      <c r="C20" s="6" t="s">
        <v>10</v>
      </c>
      <c r="D20" s="6"/>
    </row>
    <row r="21" customFormat="false" ht="15" hidden="false" customHeight="true" outlineLevel="0" collapsed="false">
      <c r="A21" s="10" t="s">
        <v>278</v>
      </c>
      <c r="B21" s="34" t="n">
        <v>15.27</v>
      </c>
      <c r="C21" s="10" t="s">
        <v>7</v>
      </c>
      <c r="D21" s="10"/>
    </row>
    <row r="22" customFormat="false" ht="15" hidden="false" customHeight="true" outlineLevel="0" collapsed="false">
      <c r="A22" s="6" t="s">
        <v>275</v>
      </c>
      <c r="B22" s="35" t="n">
        <v>64.24</v>
      </c>
      <c r="C22" s="6" t="s">
        <v>14</v>
      </c>
      <c r="D22" s="6"/>
    </row>
    <row r="23" customFormat="false" ht="15" hidden="false" customHeight="true" outlineLevel="0" collapsed="false">
      <c r="A23" s="10" t="s">
        <v>274</v>
      </c>
      <c r="B23" s="34" t="n">
        <v>865.04</v>
      </c>
      <c r="C23" s="10" t="s">
        <v>14</v>
      </c>
      <c r="D23" s="10"/>
    </row>
    <row r="24" customFormat="false" ht="15" hidden="false" customHeight="true" outlineLevel="0" collapsed="false">
      <c r="A24" s="6" t="s">
        <v>17</v>
      </c>
      <c r="B24" s="35" t="n">
        <v>35.11</v>
      </c>
      <c r="C24" s="6" t="s">
        <v>14</v>
      </c>
      <c r="D24" s="6"/>
    </row>
    <row r="25" customFormat="false" ht="15" hidden="false" customHeight="true" outlineLevel="0" collapsed="false">
      <c r="A25" s="10" t="s">
        <v>16</v>
      </c>
      <c r="B25" s="34" t="n">
        <v>101.5</v>
      </c>
      <c r="C25" s="10" t="s">
        <v>14</v>
      </c>
      <c r="D25" s="10"/>
    </row>
    <row r="26" customFormat="false" ht="15" hidden="false" customHeight="true" outlineLevel="0" collapsed="false">
      <c r="A26" s="6" t="s">
        <v>33</v>
      </c>
      <c r="B26" s="35" t="n">
        <v>86.28</v>
      </c>
      <c r="C26" s="6" t="s">
        <v>14</v>
      </c>
      <c r="D26" s="6"/>
    </row>
    <row r="27" customFormat="false" ht="15" hidden="false" customHeight="true" outlineLevel="0" collapsed="false">
      <c r="A27" s="10" t="s">
        <v>15</v>
      </c>
      <c r="B27" s="34" t="n">
        <v>50.5</v>
      </c>
      <c r="C27" s="10" t="s">
        <v>14</v>
      </c>
      <c r="D27" s="10"/>
    </row>
    <row r="28" customFormat="false" ht="15" hidden="false" customHeight="true" outlineLevel="0" collapsed="false">
      <c r="A28" s="6" t="s">
        <v>105</v>
      </c>
      <c r="B28" s="35" t="n">
        <v>32.6</v>
      </c>
      <c r="C28" s="6" t="s">
        <v>10</v>
      </c>
      <c r="D28" s="6"/>
    </row>
    <row r="29" customFormat="false" ht="15" hidden="false" customHeight="true" outlineLevel="0" collapsed="false">
      <c r="A29" s="10" t="s">
        <v>104</v>
      </c>
      <c r="B29" s="34" t="n">
        <v>115.23</v>
      </c>
      <c r="C29" s="10" t="s">
        <v>7</v>
      </c>
      <c r="D29" s="10"/>
    </row>
    <row r="30" customFormat="false" ht="15" hidden="false" customHeight="true" outlineLevel="0" collapsed="false">
      <c r="A30" s="6" t="s">
        <v>279</v>
      </c>
      <c r="B30" s="35" t="n">
        <v>490.07</v>
      </c>
      <c r="C30" s="6" t="s">
        <v>7</v>
      </c>
      <c r="D30" s="6"/>
    </row>
    <row r="31" customFormat="false" ht="15" hidden="false" customHeight="true" outlineLevel="0" collapsed="false">
      <c r="A31" s="10" t="s">
        <v>276</v>
      </c>
      <c r="B31" s="34" t="n">
        <v>491.72</v>
      </c>
      <c r="C31" s="10" t="s">
        <v>10</v>
      </c>
      <c r="D31" s="10"/>
    </row>
    <row r="32" customFormat="false" ht="15" hidden="false" customHeight="true" outlineLevel="0" collapsed="false">
      <c r="A32" s="6" t="s">
        <v>366</v>
      </c>
      <c r="B32" s="35" t="n">
        <v>71.37</v>
      </c>
      <c r="C32" s="6" t="s">
        <v>14</v>
      </c>
      <c r="D32" s="6"/>
    </row>
    <row r="33" customFormat="false" ht="15" hidden="false" customHeight="true" outlineLevel="0" collapsed="false">
      <c r="A33" s="10" t="s">
        <v>367</v>
      </c>
      <c r="B33" s="34" t="n">
        <v>24.98</v>
      </c>
      <c r="C33" s="10" t="s">
        <v>14</v>
      </c>
      <c r="D33" s="10"/>
    </row>
    <row r="34" customFormat="false" ht="15" hidden="false" customHeight="true" outlineLevel="0" collapsed="false">
      <c r="A34" s="6" t="s">
        <v>368</v>
      </c>
      <c r="B34" s="35" t="n">
        <v>382.74</v>
      </c>
      <c r="C34" s="6" t="s">
        <v>14</v>
      </c>
      <c r="D34" s="6"/>
    </row>
    <row r="35" customFormat="false" ht="15" hidden="false" customHeight="true" outlineLevel="0" collapsed="false">
      <c r="A35" s="10" t="s">
        <v>369</v>
      </c>
      <c r="B35" s="34" t="n">
        <v>275</v>
      </c>
      <c r="C35" s="10" t="s">
        <v>14</v>
      </c>
      <c r="D35" s="10"/>
    </row>
    <row r="36" customFormat="false" ht="15" hidden="false" customHeight="true" outlineLevel="0" collapsed="false">
      <c r="A36" s="6" t="s">
        <v>370</v>
      </c>
      <c r="B36" s="35" t="n">
        <v>208</v>
      </c>
      <c r="C36" s="6" t="s">
        <v>14</v>
      </c>
      <c r="D36" s="6"/>
    </row>
    <row r="37" customFormat="false" ht="15" hidden="false" customHeight="true" outlineLevel="0" collapsed="false">
      <c r="A37" s="10" t="s">
        <v>87</v>
      </c>
      <c r="B37" s="34" t="n">
        <v>49.19</v>
      </c>
      <c r="C37" s="10" t="s">
        <v>10</v>
      </c>
      <c r="D37" s="10"/>
    </row>
    <row r="38" customFormat="false" ht="15" hidden="false" customHeight="true" outlineLevel="0" collapsed="false">
      <c r="A38" s="6" t="s">
        <v>371</v>
      </c>
      <c r="B38" s="35" t="n">
        <v>91.19</v>
      </c>
      <c r="C38" s="6" t="s">
        <v>14</v>
      </c>
      <c r="D38" s="6"/>
    </row>
    <row r="39" customFormat="false" ht="15" hidden="false" customHeight="true" outlineLevel="0" collapsed="false">
      <c r="A39" s="10" t="s">
        <v>372</v>
      </c>
      <c r="B39" s="34" t="n">
        <v>75</v>
      </c>
      <c r="C39" s="10" t="s">
        <v>14</v>
      </c>
      <c r="D39" s="10"/>
    </row>
    <row r="40" customFormat="false" ht="15" hidden="false" customHeight="true" outlineLevel="0" collapsed="false">
      <c r="A40" s="6" t="s">
        <v>373</v>
      </c>
      <c r="B40" s="35" t="n">
        <v>16.43</v>
      </c>
      <c r="C40" s="6" t="s">
        <v>14</v>
      </c>
      <c r="D40" s="6"/>
    </row>
    <row r="41" customFormat="false" ht="15" hidden="false" customHeight="true" outlineLevel="0" collapsed="false">
      <c r="A41" s="10"/>
      <c r="B41" s="34"/>
      <c r="C41" s="10"/>
      <c r="D41" s="10"/>
    </row>
    <row r="42" customFormat="false" ht="15" hidden="false" customHeight="true" outlineLevel="0" collapsed="false">
      <c r="A42" s="6"/>
      <c r="B42" s="35"/>
      <c r="C42" s="6"/>
      <c r="D42" s="6"/>
    </row>
    <row r="43" customFormat="false" ht="15" hidden="false" customHeight="true" outlineLevel="0" collapsed="false">
      <c r="A43" s="10"/>
      <c r="B43" s="34"/>
      <c r="C43" s="10"/>
      <c r="D43" s="10"/>
    </row>
    <row r="44" customFormat="false" ht="15" hidden="false" customHeight="true" outlineLevel="0" collapsed="false">
      <c r="A44" s="6"/>
      <c r="B44" s="35"/>
      <c r="C44" s="6"/>
      <c r="D44" s="6"/>
    </row>
    <row r="45" customFormat="false" ht="15" hidden="false" customHeight="true" outlineLevel="0" collapsed="false">
      <c r="A45" s="10"/>
      <c r="B45" s="34"/>
      <c r="C45" s="10"/>
      <c r="D45" s="10"/>
    </row>
    <row r="46" customFormat="false" ht="15" hidden="false" customHeight="true" outlineLevel="0" collapsed="false">
      <c r="A46" s="18" t="s">
        <v>38</v>
      </c>
      <c r="B46" s="36" t="n">
        <f aca="false">SUM(B11:B45)</f>
        <v>4269.7</v>
      </c>
      <c r="C46" s="18"/>
      <c r="D46" s="18"/>
    </row>
    <row r="47" customFormat="false" ht="6" hidden="false" customHeight="true" outlineLevel="0" collapsed="false"/>
    <row r="48" customFormat="false" ht="15" hidden="false" customHeight="true" outlineLevel="0" collapsed="false">
      <c r="A48" s="20" t="s">
        <v>39</v>
      </c>
      <c r="B48" s="20"/>
      <c r="C48" s="20"/>
      <c r="D48" s="20"/>
    </row>
    <row r="49" customFormat="false" ht="15" hidden="false" customHeight="true" outlineLevel="0" collapsed="false">
      <c r="A49" s="21" t="s">
        <v>40</v>
      </c>
      <c r="B49" s="37" t="n">
        <f aca="false">B7</f>
        <v>0</v>
      </c>
      <c r="C49" s="23"/>
      <c r="D49" s="23"/>
    </row>
    <row r="50" customFormat="false" ht="15" hidden="false" customHeight="true" outlineLevel="0" collapsed="false">
      <c r="A50" s="24" t="s">
        <v>41</v>
      </c>
      <c r="B50" s="38" t="n">
        <f aca="false">B46</f>
        <v>4269.7</v>
      </c>
      <c r="C50" s="26"/>
      <c r="D50" s="26"/>
    </row>
    <row r="51" customFormat="false" ht="15" hidden="false" customHeight="true" outlineLevel="0" collapsed="false">
      <c r="A51" s="27" t="s">
        <v>42</v>
      </c>
      <c r="B51" s="39" t="n">
        <f aca="false">B49-B50</f>
        <v>-4269.7</v>
      </c>
      <c r="C51" s="29"/>
      <c r="D51" s="29"/>
    </row>
  </sheetData>
  <mergeCells count="7">
    <mergeCell ref="A1:D1"/>
    <mergeCell ref="A3:D3"/>
    <mergeCell ref="A9:D9"/>
    <mergeCell ref="A48:D48"/>
    <mergeCell ref="C49:D49"/>
    <mergeCell ref="C50:D50"/>
    <mergeCell ref="C51:D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374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140</v>
      </c>
      <c r="B11" s="34" t="n">
        <v>67.9</v>
      </c>
      <c r="C11" s="10" t="s">
        <v>14</v>
      </c>
      <c r="D11" s="10"/>
    </row>
    <row r="12" customFormat="false" ht="15" hidden="false" customHeight="true" outlineLevel="0" collapsed="false">
      <c r="A12" s="6" t="s">
        <v>375</v>
      </c>
      <c r="B12" s="35" t="n">
        <v>230.25</v>
      </c>
      <c r="C12" s="6" t="s">
        <v>14</v>
      </c>
      <c r="D12" s="6"/>
    </row>
    <row r="13" customFormat="false" ht="15" hidden="false" customHeight="true" outlineLevel="0" collapsed="false">
      <c r="A13" s="10" t="s">
        <v>376</v>
      </c>
      <c r="B13" s="34" t="n">
        <v>111.98</v>
      </c>
      <c r="C13" s="10" t="s">
        <v>7</v>
      </c>
      <c r="D13" s="10"/>
    </row>
    <row r="14" customFormat="false" ht="15" hidden="false" customHeight="true" outlineLevel="0" collapsed="false">
      <c r="A14" s="6" t="s">
        <v>377</v>
      </c>
      <c r="B14" s="35" t="n">
        <v>41.79</v>
      </c>
      <c r="C14" s="6" t="s">
        <v>14</v>
      </c>
      <c r="D14" s="6"/>
    </row>
    <row r="15" customFormat="false" ht="15" hidden="false" customHeight="true" outlineLevel="0" collapsed="false">
      <c r="A15" s="10" t="s">
        <v>378</v>
      </c>
      <c r="B15" s="34" t="n">
        <v>62.43</v>
      </c>
      <c r="C15" s="10" t="s">
        <v>7</v>
      </c>
      <c r="D15" s="10"/>
    </row>
    <row r="16" customFormat="false" ht="15" hidden="false" customHeight="true" outlineLevel="0" collapsed="false">
      <c r="A16" s="6" t="s">
        <v>31</v>
      </c>
      <c r="B16" s="35" t="n">
        <v>73</v>
      </c>
      <c r="C16" s="6" t="s">
        <v>14</v>
      </c>
      <c r="D16" s="6"/>
    </row>
    <row r="17" customFormat="false" ht="15" hidden="false" customHeight="true" outlineLevel="0" collapsed="false">
      <c r="A17" s="10" t="s">
        <v>150</v>
      </c>
      <c r="B17" s="34" t="n">
        <v>17.05</v>
      </c>
      <c r="C17" s="10" t="s">
        <v>7</v>
      </c>
      <c r="D17" s="10"/>
    </row>
    <row r="18" customFormat="false" ht="15" hidden="false" customHeight="true" outlineLevel="0" collapsed="false">
      <c r="A18" s="6" t="s">
        <v>151</v>
      </c>
      <c r="B18" s="35" t="n">
        <v>29.57</v>
      </c>
      <c r="C18" s="6" t="s">
        <v>10</v>
      </c>
      <c r="D18" s="6"/>
    </row>
    <row r="19" customFormat="false" ht="15" hidden="false" customHeight="true" outlineLevel="0" collapsed="false">
      <c r="A19" s="10" t="s">
        <v>124</v>
      </c>
      <c r="B19" s="34" t="n">
        <v>18.56</v>
      </c>
      <c r="C19" s="10" t="s">
        <v>10</v>
      </c>
      <c r="D19" s="10"/>
    </row>
    <row r="20" customFormat="false" ht="15" hidden="false" customHeight="true" outlineLevel="0" collapsed="false">
      <c r="A20" s="6" t="s">
        <v>278</v>
      </c>
      <c r="B20" s="35" t="n">
        <v>15.27</v>
      </c>
      <c r="C20" s="6" t="s">
        <v>7</v>
      </c>
      <c r="D20" s="6"/>
    </row>
    <row r="21" customFormat="false" ht="15" hidden="false" customHeight="true" outlineLevel="0" collapsed="false">
      <c r="A21" s="10" t="s">
        <v>275</v>
      </c>
      <c r="B21" s="34" t="n">
        <v>64.24</v>
      </c>
      <c r="C21" s="10" t="s">
        <v>14</v>
      </c>
      <c r="D21" s="10"/>
    </row>
    <row r="22" customFormat="false" ht="15" hidden="false" customHeight="true" outlineLevel="0" collapsed="false">
      <c r="A22" s="6" t="s">
        <v>274</v>
      </c>
      <c r="B22" s="35" t="n">
        <v>865.04</v>
      </c>
      <c r="C22" s="6" t="s">
        <v>14</v>
      </c>
      <c r="D22" s="6"/>
    </row>
    <row r="23" customFormat="false" ht="15" hidden="false" customHeight="true" outlineLevel="0" collapsed="false">
      <c r="A23" s="10" t="s">
        <v>17</v>
      </c>
      <c r="B23" s="34" t="n">
        <v>35.11</v>
      </c>
      <c r="C23" s="10" t="s">
        <v>14</v>
      </c>
      <c r="D23" s="10"/>
    </row>
    <row r="24" customFormat="false" ht="15" hidden="false" customHeight="true" outlineLevel="0" collapsed="false">
      <c r="A24" s="6" t="s">
        <v>16</v>
      </c>
      <c r="B24" s="35" t="n">
        <v>101.5</v>
      </c>
      <c r="C24" s="6" t="s">
        <v>14</v>
      </c>
      <c r="D24" s="6"/>
    </row>
    <row r="25" customFormat="false" ht="15" hidden="false" customHeight="true" outlineLevel="0" collapsed="false">
      <c r="A25" s="10" t="s">
        <v>33</v>
      </c>
      <c r="B25" s="34" t="n">
        <v>126.8</v>
      </c>
      <c r="C25" s="10" t="s">
        <v>14</v>
      </c>
      <c r="D25" s="10"/>
    </row>
    <row r="26" customFormat="false" ht="15" hidden="false" customHeight="true" outlineLevel="0" collapsed="false">
      <c r="A26" s="6" t="s">
        <v>379</v>
      </c>
      <c r="B26" s="35" t="n">
        <v>71.37</v>
      </c>
      <c r="C26" s="6" t="s">
        <v>14</v>
      </c>
      <c r="D26" s="6"/>
    </row>
    <row r="27" customFormat="false" ht="15" hidden="false" customHeight="true" outlineLevel="0" collapsed="false">
      <c r="A27" s="10" t="s">
        <v>380</v>
      </c>
      <c r="B27" s="34" t="n">
        <v>373.33</v>
      </c>
      <c r="C27" s="10" t="s">
        <v>14</v>
      </c>
      <c r="D27" s="10"/>
    </row>
    <row r="28" customFormat="false" ht="15" hidden="false" customHeight="true" outlineLevel="0" collapsed="false">
      <c r="A28" s="6" t="s">
        <v>15</v>
      </c>
      <c r="B28" s="35" t="n">
        <v>79.59</v>
      </c>
      <c r="C28" s="6" t="s">
        <v>14</v>
      </c>
      <c r="D28" s="6"/>
    </row>
    <row r="29" customFormat="false" ht="15" hidden="false" customHeight="true" outlineLevel="0" collapsed="false">
      <c r="A29" s="10" t="s">
        <v>367</v>
      </c>
      <c r="B29" s="34" t="n">
        <v>24.98</v>
      </c>
      <c r="C29" s="10" t="s">
        <v>14</v>
      </c>
      <c r="D29" s="10"/>
    </row>
    <row r="30" customFormat="false" ht="15" hidden="false" customHeight="true" outlineLevel="0" collapsed="false">
      <c r="A30" s="6" t="s">
        <v>381</v>
      </c>
      <c r="B30" s="35" t="n">
        <v>208</v>
      </c>
      <c r="C30" s="6" t="s">
        <v>14</v>
      </c>
      <c r="D30" s="6"/>
    </row>
    <row r="31" customFormat="false" ht="15" hidden="false" customHeight="true" outlineLevel="0" collapsed="false">
      <c r="A31" s="10" t="s">
        <v>382</v>
      </c>
      <c r="B31" s="34" t="n">
        <v>117.05</v>
      </c>
      <c r="C31" s="10" t="s">
        <v>14</v>
      </c>
      <c r="D31" s="10"/>
    </row>
    <row r="32" customFormat="false" ht="15" hidden="false" customHeight="true" outlineLevel="0" collapsed="false">
      <c r="A32" s="6" t="s">
        <v>279</v>
      </c>
      <c r="B32" s="35" t="n">
        <v>442.83</v>
      </c>
      <c r="C32" s="6" t="s">
        <v>7</v>
      </c>
      <c r="D32" s="6"/>
    </row>
    <row r="33" customFormat="false" ht="15" hidden="false" customHeight="true" outlineLevel="0" collapsed="false">
      <c r="A33" s="10" t="s">
        <v>105</v>
      </c>
      <c r="B33" s="34" t="n">
        <v>132.89</v>
      </c>
      <c r="C33" s="10" t="s">
        <v>10</v>
      </c>
      <c r="D33" s="10"/>
    </row>
    <row r="34" customFormat="false" ht="15" hidden="false" customHeight="true" outlineLevel="0" collapsed="false">
      <c r="A34" s="6" t="s">
        <v>104</v>
      </c>
      <c r="B34" s="35" t="n">
        <v>139.67</v>
      </c>
      <c r="C34" s="6" t="s">
        <v>7</v>
      </c>
      <c r="D34" s="6"/>
    </row>
    <row r="35" customFormat="false" ht="15" hidden="false" customHeight="true" outlineLevel="0" collapsed="false">
      <c r="A35" s="10" t="s">
        <v>383</v>
      </c>
      <c r="B35" s="34" t="n">
        <v>80</v>
      </c>
      <c r="C35" s="10" t="s">
        <v>14</v>
      </c>
      <c r="D35" s="10"/>
    </row>
    <row r="36" customFormat="false" ht="15" hidden="false" customHeight="true" outlineLevel="0" collapsed="false">
      <c r="A36" s="6" t="s">
        <v>384</v>
      </c>
      <c r="B36" s="35" t="n">
        <v>90.93</v>
      </c>
      <c r="C36" s="6" t="s">
        <v>14</v>
      </c>
      <c r="D36" s="6"/>
    </row>
    <row r="37" customFormat="false" ht="15" hidden="false" customHeight="true" outlineLevel="0" collapsed="false">
      <c r="A37" s="10" t="s">
        <v>385</v>
      </c>
      <c r="B37" s="34" t="n">
        <v>113</v>
      </c>
      <c r="C37" s="10" t="s">
        <v>14</v>
      </c>
      <c r="D37" s="10"/>
    </row>
    <row r="38" customFormat="false" ht="15" hidden="false" customHeight="true" outlineLevel="0" collapsed="false">
      <c r="A38" s="6"/>
      <c r="B38" s="35"/>
      <c r="C38" s="6"/>
      <c r="D38" s="6"/>
    </row>
    <row r="39" customFormat="false" ht="15" hidden="false" customHeight="true" outlineLevel="0" collapsed="false">
      <c r="A39" s="10"/>
      <c r="B39" s="34"/>
      <c r="C39" s="10"/>
      <c r="D39" s="10"/>
    </row>
    <row r="40" customFormat="false" ht="15" hidden="false" customHeight="true" outlineLevel="0" collapsed="false">
      <c r="A40" s="6"/>
      <c r="B40" s="35"/>
      <c r="C40" s="6"/>
      <c r="D40" s="6"/>
    </row>
    <row r="41" customFormat="false" ht="15" hidden="false" customHeight="true" outlineLevel="0" collapsed="false">
      <c r="A41" s="10"/>
      <c r="B41" s="34"/>
      <c r="C41" s="10"/>
      <c r="D41" s="10"/>
    </row>
    <row r="42" customFormat="false" ht="15" hidden="false" customHeight="true" outlineLevel="0" collapsed="false">
      <c r="A42" s="6"/>
      <c r="B42" s="35"/>
      <c r="C42" s="6"/>
      <c r="D42" s="6"/>
    </row>
    <row r="43" customFormat="false" ht="15" hidden="false" customHeight="true" outlineLevel="0" collapsed="false">
      <c r="A43" s="18" t="s">
        <v>38</v>
      </c>
      <c r="B43" s="36" t="n">
        <f aca="false">SUM(B11:B42)</f>
        <v>3734.13</v>
      </c>
      <c r="C43" s="18"/>
      <c r="D43" s="18"/>
    </row>
    <row r="44" customFormat="false" ht="6" hidden="false" customHeight="true" outlineLevel="0" collapsed="false"/>
    <row r="45" customFormat="false" ht="15" hidden="false" customHeight="true" outlineLevel="0" collapsed="false">
      <c r="A45" s="20" t="s">
        <v>39</v>
      </c>
      <c r="B45" s="20"/>
      <c r="C45" s="20"/>
      <c r="D45" s="20"/>
    </row>
    <row r="46" customFormat="false" ht="15" hidden="false" customHeight="true" outlineLevel="0" collapsed="false">
      <c r="A46" s="21" t="s">
        <v>40</v>
      </c>
      <c r="B46" s="37" t="n">
        <f aca="false">B7</f>
        <v>0</v>
      </c>
      <c r="C46" s="23"/>
      <c r="D46" s="23"/>
    </row>
    <row r="47" customFormat="false" ht="15" hidden="false" customHeight="true" outlineLevel="0" collapsed="false">
      <c r="A47" s="24" t="s">
        <v>41</v>
      </c>
      <c r="B47" s="38" t="n">
        <f aca="false">B43</f>
        <v>3734.13</v>
      </c>
      <c r="C47" s="26"/>
      <c r="D47" s="26"/>
    </row>
    <row r="48" customFormat="false" ht="15" hidden="false" customHeight="true" outlineLevel="0" collapsed="false">
      <c r="A48" s="27" t="s">
        <v>42</v>
      </c>
      <c r="B48" s="39" t="n">
        <f aca="false">B46-B47</f>
        <v>-3734.13</v>
      </c>
      <c r="C48" s="29"/>
      <c r="D48" s="29"/>
    </row>
  </sheetData>
  <mergeCells count="7">
    <mergeCell ref="A1:D1"/>
    <mergeCell ref="A3:D3"/>
    <mergeCell ref="A9:D9"/>
    <mergeCell ref="A45:D45"/>
    <mergeCell ref="C46:D46"/>
    <mergeCell ref="C47:D47"/>
    <mergeCell ref="C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386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140</v>
      </c>
      <c r="B11" s="34" t="n">
        <v>67.9</v>
      </c>
      <c r="C11" s="10" t="s">
        <v>14</v>
      </c>
      <c r="D11" s="10" t="s">
        <v>387</v>
      </c>
    </row>
    <row r="12" customFormat="false" ht="15" hidden="false" customHeight="true" outlineLevel="0" collapsed="false">
      <c r="A12" s="6" t="s">
        <v>388</v>
      </c>
      <c r="B12" s="35" t="n">
        <v>250</v>
      </c>
      <c r="C12" s="6" t="s">
        <v>14</v>
      </c>
      <c r="D12" s="6"/>
    </row>
    <row r="13" customFormat="false" ht="15" hidden="false" customHeight="true" outlineLevel="0" collapsed="false">
      <c r="A13" s="10" t="s">
        <v>170</v>
      </c>
      <c r="B13" s="34" t="n">
        <v>185</v>
      </c>
      <c r="C13" s="10" t="s">
        <v>14</v>
      </c>
      <c r="D13" s="10"/>
    </row>
    <row r="14" customFormat="false" ht="15" hidden="false" customHeight="true" outlineLevel="0" collapsed="false">
      <c r="A14" s="6" t="s">
        <v>389</v>
      </c>
      <c r="B14" s="35" t="n">
        <v>373.34</v>
      </c>
      <c r="C14" s="6" t="s">
        <v>14</v>
      </c>
      <c r="D14" s="6"/>
    </row>
    <row r="15" customFormat="false" ht="15" hidden="false" customHeight="true" outlineLevel="0" collapsed="false">
      <c r="A15" s="10" t="s">
        <v>390</v>
      </c>
      <c r="B15" s="34" t="n">
        <v>230.25</v>
      </c>
      <c r="C15" s="10" t="s">
        <v>14</v>
      </c>
      <c r="D15" s="10"/>
    </row>
    <row r="16" customFormat="false" ht="15" hidden="false" customHeight="true" outlineLevel="0" collapsed="false">
      <c r="A16" s="6" t="s">
        <v>391</v>
      </c>
      <c r="B16" s="35" t="n">
        <v>111.98</v>
      </c>
      <c r="C16" s="6" t="s">
        <v>7</v>
      </c>
      <c r="D16" s="6"/>
    </row>
    <row r="17" customFormat="false" ht="15" hidden="false" customHeight="true" outlineLevel="0" collapsed="false">
      <c r="A17" s="10" t="s">
        <v>392</v>
      </c>
      <c r="B17" s="34" t="n">
        <v>41.79</v>
      </c>
      <c r="C17" s="10" t="s">
        <v>14</v>
      </c>
      <c r="D17" s="10"/>
    </row>
    <row r="18" customFormat="false" ht="15" hidden="false" customHeight="true" outlineLevel="0" collapsed="false">
      <c r="A18" s="6" t="s">
        <v>393</v>
      </c>
      <c r="B18" s="35" t="n">
        <v>62.43</v>
      </c>
      <c r="C18" s="6" t="s">
        <v>7</v>
      </c>
      <c r="D18" s="6"/>
    </row>
    <row r="19" customFormat="false" ht="15" hidden="false" customHeight="true" outlineLevel="0" collapsed="false">
      <c r="A19" s="10" t="s">
        <v>394</v>
      </c>
      <c r="B19" s="34" t="n">
        <v>50</v>
      </c>
      <c r="C19" s="10" t="s">
        <v>14</v>
      </c>
      <c r="D19" s="10"/>
    </row>
    <row r="20" customFormat="false" ht="15" hidden="false" customHeight="true" outlineLevel="0" collapsed="false">
      <c r="A20" s="6" t="s">
        <v>395</v>
      </c>
      <c r="B20" s="35" t="n">
        <v>107.64</v>
      </c>
      <c r="C20" s="6" t="s">
        <v>14</v>
      </c>
      <c r="D20" s="6"/>
    </row>
    <row r="21" customFormat="false" ht="15" hidden="false" customHeight="true" outlineLevel="0" collapsed="false">
      <c r="A21" s="10" t="s">
        <v>396</v>
      </c>
      <c r="B21" s="34" t="n">
        <v>71.37</v>
      </c>
      <c r="C21" s="10" t="s">
        <v>14</v>
      </c>
      <c r="D21" s="10"/>
    </row>
    <row r="22" customFormat="false" ht="15" hidden="false" customHeight="true" outlineLevel="0" collapsed="false">
      <c r="A22" s="6" t="s">
        <v>397</v>
      </c>
      <c r="B22" s="35" t="n">
        <v>208</v>
      </c>
      <c r="C22" s="6" t="s">
        <v>14</v>
      </c>
      <c r="D22" s="6"/>
    </row>
    <row r="23" customFormat="false" ht="15" hidden="false" customHeight="true" outlineLevel="0" collapsed="false">
      <c r="A23" s="10" t="s">
        <v>31</v>
      </c>
      <c r="B23" s="34" t="n">
        <v>86.53</v>
      </c>
      <c r="C23" s="10" t="s">
        <v>14</v>
      </c>
      <c r="D23" s="10"/>
    </row>
    <row r="24" customFormat="false" ht="15" hidden="false" customHeight="true" outlineLevel="0" collapsed="false">
      <c r="A24" s="6" t="s">
        <v>33</v>
      </c>
      <c r="B24" s="35" t="n">
        <v>121.26</v>
      </c>
      <c r="C24" s="6" t="s">
        <v>14</v>
      </c>
      <c r="D24" s="6"/>
    </row>
    <row r="25" customFormat="false" ht="15" hidden="false" customHeight="true" outlineLevel="0" collapsed="false">
      <c r="A25" s="10" t="s">
        <v>15</v>
      </c>
      <c r="B25" s="34" t="n">
        <v>62.26</v>
      </c>
      <c r="C25" s="10" t="s">
        <v>14</v>
      </c>
      <c r="D25" s="10"/>
    </row>
    <row r="26" customFormat="false" ht="15" hidden="false" customHeight="true" outlineLevel="0" collapsed="false">
      <c r="A26" s="6" t="s">
        <v>151</v>
      </c>
      <c r="B26" s="35" t="n">
        <v>29.57</v>
      </c>
      <c r="C26" s="6" t="s">
        <v>10</v>
      </c>
      <c r="D26" s="6"/>
    </row>
    <row r="27" customFormat="false" ht="15" hidden="false" customHeight="true" outlineLevel="0" collapsed="false">
      <c r="A27" s="10" t="s">
        <v>150</v>
      </c>
      <c r="B27" s="34" t="n">
        <v>17.05</v>
      </c>
      <c r="C27" s="10" t="s">
        <v>7</v>
      </c>
      <c r="D27" s="10"/>
    </row>
    <row r="28" customFormat="false" ht="15" hidden="false" customHeight="true" outlineLevel="0" collapsed="false">
      <c r="A28" s="6" t="s">
        <v>358</v>
      </c>
      <c r="B28" s="35" t="n">
        <v>105</v>
      </c>
      <c r="C28" s="6" t="s">
        <v>14</v>
      </c>
      <c r="D28" s="6"/>
    </row>
    <row r="29" customFormat="false" ht="15" hidden="false" customHeight="true" outlineLevel="0" collapsed="false">
      <c r="A29" s="10" t="s">
        <v>398</v>
      </c>
      <c r="B29" s="34" t="n">
        <v>60</v>
      </c>
      <c r="C29" s="10" t="s">
        <v>14</v>
      </c>
      <c r="D29" s="10"/>
    </row>
    <row r="30" customFormat="false" ht="15" hidden="false" customHeight="true" outlineLevel="0" collapsed="false">
      <c r="A30" s="6" t="s">
        <v>275</v>
      </c>
      <c r="B30" s="35" t="n">
        <v>64.24</v>
      </c>
      <c r="C30" s="6" t="s">
        <v>14</v>
      </c>
      <c r="D30" s="6"/>
    </row>
    <row r="31" customFormat="false" ht="15" hidden="false" customHeight="true" outlineLevel="0" collapsed="false">
      <c r="A31" s="10" t="s">
        <v>274</v>
      </c>
      <c r="B31" s="34" t="n">
        <v>865.04</v>
      </c>
      <c r="C31" s="10" t="s">
        <v>14</v>
      </c>
      <c r="D31" s="10"/>
    </row>
    <row r="32" customFormat="false" ht="15" hidden="false" customHeight="true" outlineLevel="0" collapsed="false">
      <c r="A32" s="6" t="s">
        <v>16</v>
      </c>
      <c r="B32" s="35" t="n">
        <v>101.5</v>
      </c>
      <c r="C32" s="6" t="s">
        <v>14</v>
      </c>
      <c r="D32" s="6"/>
    </row>
    <row r="33" customFormat="false" ht="15" hidden="false" customHeight="true" outlineLevel="0" collapsed="false">
      <c r="A33" s="10" t="s">
        <v>17</v>
      </c>
      <c r="B33" s="34" t="n">
        <v>35.11</v>
      </c>
      <c r="C33" s="10" t="s">
        <v>14</v>
      </c>
      <c r="D33" s="10"/>
    </row>
    <row r="34" customFormat="false" ht="15" hidden="false" customHeight="true" outlineLevel="0" collapsed="false">
      <c r="A34" s="6" t="s">
        <v>399</v>
      </c>
      <c r="B34" s="35" t="n">
        <v>13</v>
      </c>
      <c r="C34" s="6" t="s">
        <v>14</v>
      </c>
      <c r="D34" s="6"/>
    </row>
    <row r="35" customFormat="false" ht="15" hidden="false" customHeight="true" outlineLevel="0" collapsed="false">
      <c r="A35" s="10" t="s">
        <v>104</v>
      </c>
      <c r="B35" s="34" t="n">
        <v>150</v>
      </c>
      <c r="C35" s="10" t="s">
        <v>7</v>
      </c>
      <c r="D35" s="10"/>
    </row>
    <row r="36" customFormat="false" ht="15" hidden="false" customHeight="true" outlineLevel="0" collapsed="false">
      <c r="A36" s="6" t="s">
        <v>105</v>
      </c>
      <c r="B36" s="35" t="n">
        <v>31.24</v>
      </c>
      <c r="C36" s="6" t="s">
        <v>10</v>
      </c>
      <c r="D36" s="6"/>
    </row>
    <row r="37" customFormat="false" ht="15" hidden="false" customHeight="true" outlineLevel="0" collapsed="false">
      <c r="A37" s="10" t="s">
        <v>279</v>
      </c>
      <c r="B37" s="34" t="n">
        <v>492.4</v>
      </c>
      <c r="C37" s="10" t="s">
        <v>7</v>
      </c>
      <c r="D37" s="10"/>
    </row>
    <row r="38" customFormat="false" ht="15" hidden="false" customHeight="true" outlineLevel="0" collapsed="false">
      <c r="A38" s="6" t="s">
        <v>276</v>
      </c>
      <c r="B38" s="35" t="n">
        <v>268.1</v>
      </c>
      <c r="C38" s="6" t="s">
        <v>10</v>
      </c>
      <c r="D38" s="6"/>
    </row>
    <row r="39" customFormat="false" ht="15" hidden="false" customHeight="true" outlineLevel="0" collapsed="false">
      <c r="A39" s="10" t="s">
        <v>384</v>
      </c>
      <c r="B39" s="34" t="n">
        <v>80.4</v>
      </c>
      <c r="C39" s="10" t="s">
        <v>14</v>
      </c>
      <c r="D39" s="10"/>
    </row>
    <row r="40" customFormat="false" ht="15" hidden="false" customHeight="true" outlineLevel="0" collapsed="false">
      <c r="A40" s="6" t="s">
        <v>122</v>
      </c>
      <c r="B40" s="35" t="n">
        <v>37.66</v>
      </c>
      <c r="C40" s="6" t="s">
        <v>14</v>
      </c>
      <c r="D40" s="6"/>
    </row>
    <row r="41" customFormat="false" ht="15" hidden="false" customHeight="true" outlineLevel="0" collapsed="false">
      <c r="A41" s="10"/>
      <c r="B41" s="34"/>
      <c r="C41" s="10"/>
      <c r="D41" s="10"/>
    </row>
    <row r="42" customFormat="false" ht="15" hidden="false" customHeight="true" outlineLevel="0" collapsed="false">
      <c r="A42" s="6"/>
      <c r="B42" s="35"/>
      <c r="C42" s="6"/>
      <c r="D42" s="6"/>
    </row>
    <row r="43" customFormat="false" ht="15" hidden="false" customHeight="true" outlineLevel="0" collapsed="false">
      <c r="A43" s="10"/>
      <c r="B43" s="34"/>
      <c r="C43" s="10"/>
      <c r="D43" s="10"/>
    </row>
    <row r="44" customFormat="false" ht="15" hidden="false" customHeight="true" outlineLevel="0" collapsed="false">
      <c r="A44" s="6"/>
      <c r="B44" s="35"/>
      <c r="C44" s="6"/>
      <c r="D44" s="6"/>
    </row>
    <row r="45" customFormat="false" ht="15" hidden="false" customHeight="true" outlineLevel="0" collapsed="false">
      <c r="A45" s="10"/>
      <c r="B45" s="34"/>
      <c r="C45" s="10"/>
      <c r="D45" s="10"/>
    </row>
    <row r="46" customFormat="false" ht="15" hidden="false" customHeight="true" outlineLevel="0" collapsed="false">
      <c r="A46" s="18" t="s">
        <v>38</v>
      </c>
      <c r="B46" s="36" t="n">
        <f aca="false">SUM(B11:B45)</f>
        <v>4380.06</v>
      </c>
      <c r="C46" s="18"/>
      <c r="D46" s="18"/>
    </row>
    <row r="47" customFormat="false" ht="6" hidden="false" customHeight="true" outlineLevel="0" collapsed="false"/>
    <row r="48" customFormat="false" ht="15" hidden="false" customHeight="true" outlineLevel="0" collapsed="false">
      <c r="A48" s="20" t="s">
        <v>39</v>
      </c>
      <c r="B48" s="20"/>
      <c r="C48" s="20"/>
      <c r="D48" s="20"/>
    </row>
    <row r="49" customFormat="false" ht="15" hidden="false" customHeight="true" outlineLevel="0" collapsed="false">
      <c r="A49" s="21" t="s">
        <v>40</v>
      </c>
      <c r="B49" s="37" t="n">
        <f aca="false">B7</f>
        <v>0</v>
      </c>
      <c r="C49" s="23"/>
      <c r="D49" s="23"/>
    </row>
    <row r="50" customFormat="false" ht="15" hidden="false" customHeight="true" outlineLevel="0" collapsed="false">
      <c r="A50" s="24" t="s">
        <v>41</v>
      </c>
      <c r="B50" s="38" t="n">
        <f aca="false">B46</f>
        <v>4380.06</v>
      </c>
      <c r="C50" s="26"/>
      <c r="D50" s="26"/>
    </row>
    <row r="51" customFormat="false" ht="15" hidden="false" customHeight="true" outlineLevel="0" collapsed="false">
      <c r="A51" s="27" t="s">
        <v>42</v>
      </c>
      <c r="B51" s="39" t="n">
        <f aca="false">B49-B50</f>
        <v>-4380.06</v>
      </c>
      <c r="C51" s="29"/>
      <c r="D51" s="29"/>
    </row>
  </sheetData>
  <mergeCells count="7">
    <mergeCell ref="A1:D1"/>
    <mergeCell ref="A3:D3"/>
    <mergeCell ref="A9:D9"/>
    <mergeCell ref="A48:D48"/>
    <mergeCell ref="C49:D49"/>
    <mergeCell ref="C50:D50"/>
    <mergeCell ref="C51:D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400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401</v>
      </c>
      <c r="B11" s="34" t="n">
        <v>30.8</v>
      </c>
      <c r="C11" s="10" t="s">
        <v>14</v>
      </c>
      <c r="D11" s="10" t="s">
        <v>402</v>
      </c>
    </row>
    <row r="12" customFormat="false" ht="15" hidden="false" customHeight="true" outlineLevel="0" collapsed="false">
      <c r="A12" s="6" t="s">
        <v>170</v>
      </c>
      <c r="B12" s="35" t="n">
        <v>250.9</v>
      </c>
      <c r="C12" s="6" t="s">
        <v>14</v>
      </c>
      <c r="D12" s="6"/>
    </row>
    <row r="13" customFormat="false" ht="15" hidden="false" customHeight="true" outlineLevel="0" collapsed="false">
      <c r="A13" s="10" t="s">
        <v>140</v>
      </c>
      <c r="B13" s="34" t="n">
        <v>67.9</v>
      </c>
      <c r="C13" s="10" t="s">
        <v>14</v>
      </c>
      <c r="D13" s="10"/>
    </row>
    <row r="14" customFormat="false" ht="15" hidden="false" customHeight="true" outlineLevel="0" collapsed="false">
      <c r="A14" s="6" t="s">
        <v>403</v>
      </c>
      <c r="B14" s="35" t="n">
        <v>230.25</v>
      </c>
      <c r="C14" s="6" t="s">
        <v>14</v>
      </c>
      <c r="D14" s="6"/>
    </row>
    <row r="15" customFormat="false" ht="15" hidden="false" customHeight="true" outlineLevel="0" collapsed="false">
      <c r="A15" s="10" t="s">
        <v>404</v>
      </c>
      <c r="B15" s="34" t="n">
        <v>111.98</v>
      </c>
      <c r="C15" s="10" t="s">
        <v>7</v>
      </c>
      <c r="D15" s="10"/>
    </row>
    <row r="16" customFormat="false" ht="15" hidden="false" customHeight="true" outlineLevel="0" collapsed="false">
      <c r="A16" s="6" t="s">
        <v>405</v>
      </c>
      <c r="B16" s="35" t="n">
        <v>41.79</v>
      </c>
      <c r="C16" s="6" t="s">
        <v>14</v>
      </c>
      <c r="D16" s="6"/>
    </row>
    <row r="17" customFormat="false" ht="15" hidden="false" customHeight="true" outlineLevel="0" collapsed="false">
      <c r="A17" s="10" t="s">
        <v>393</v>
      </c>
      <c r="B17" s="34" t="n">
        <v>62.43</v>
      </c>
      <c r="C17" s="10" t="s">
        <v>7</v>
      </c>
      <c r="D17" s="10"/>
    </row>
    <row r="18" customFormat="false" ht="15" hidden="false" customHeight="true" outlineLevel="0" collapsed="false">
      <c r="A18" s="6" t="s">
        <v>406</v>
      </c>
      <c r="B18" s="35" t="n">
        <v>107.65</v>
      </c>
      <c r="C18" s="6" t="s">
        <v>14</v>
      </c>
      <c r="D18" s="6"/>
    </row>
    <row r="19" customFormat="false" ht="15" hidden="false" customHeight="true" outlineLevel="0" collapsed="false">
      <c r="A19" s="10" t="s">
        <v>407</v>
      </c>
      <c r="B19" s="34" t="n">
        <v>71.37</v>
      </c>
      <c r="C19" s="10" t="s">
        <v>14</v>
      </c>
      <c r="D19" s="10"/>
    </row>
    <row r="20" customFormat="false" ht="15" hidden="false" customHeight="true" outlineLevel="0" collapsed="false">
      <c r="A20" s="6" t="s">
        <v>408</v>
      </c>
      <c r="B20" s="35" t="n">
        <v>208</v>
      </c>
      <c r="C20" s="6" t="s">
        <v>14</v>
      </c>
      <c r="D20" s="6"/>
    </row>
    <row r="21" customFormat="false" ht="15" hidden="false" customHeight="true" outlineLevel="0" collapsed="false">
      <c r="A21" s="10" t="s">
        <v>31</v>
      </c>
      <c r="B21" s="34" t="n">
        <v>73</v>
      </c>
      <c r="C21" s="10" t="s">
        <v>14</v>
      </c>
      <c r="D21" s="10"/>
    </row>
    <row r="22" customFormat="false" ht="15" hidden="false" customHeight="true" outlineLevel="0" collapsed="false">
      <c r="A22" s="6" t="s">
        <v>33</v>
      </c>
      <c r="B22" s="35" t="n">
        <v>98.18</v>
      </c>
      <c r="C22" s="6" t="s">
        <v>14</v>
      </c>
      <c r="D22" s="6"/>
    </row>
    <row r="23" customFormat="false" ht="15" hidden="false" customHeight="true" outlineLevel="0" collapsed="false">
      <c r="A23" s="10" t="s">
        <v>409</v>
      </c>
      <c r="B23" s="34" t="n">
        <v>400</v>
      </c>
      <c r="C23" s="10" t="s">
        <v>14</v>
      </c>
      <c r="D23" s="10"/>
    </row>
    <row r="24" customFormat="false" ht="15" hidden="false" customHeight="true" outlineLevel="0" collapsed="false">
      <c r="A24" s="6" t="s">
        <v>274</v>
      </c>
      <c r="B24" s="35" t="n">
        <v>865.04</v>
      </c>
      <c r="C24" s="6" t="s">
        <v>14</v>
      </c>
      <c r="D24" s="6"/>
    </row>
    <row r="25" customFormat="false" ht="15" hidden="false" customHeight="true" outlineLevel="0" collapsed="false">
      <c r="A25" s="10" t="s">
        <v>17</v>
      </c>
      <c r="B25" s="34" t="n">
        <v>35.11</v>
      </c>
      <c r="C25" s="10" t="s">
        <v>14</v>
      </c>
      <c r="D25" s="10"/>
    </row>
    <row r="26" customFormat="false" ht="15" hidden="false" customHeight="true" outlineLevel="0" collapsed="false">
      <c r="A26" s="6" t="s">
        <v>16</v>
      </c>
      <c r="B26" s="35" t="n">
        <v>101.5</v>
      </c>
      <c r="C26" s="6" t="s">
        <v>14</v>
      </c>
      <c r="D26" s="6"/>
    </row>
    <row r="27" customFormat="false" ht="15" hidden="false" customHeight="true" outlineLevel="0" collapsed="false">
      <c r="A27" s="10" t="s">
        <v>399</v>
      </c>
      <c r="B27" s="34" t="n">
        <v>215</v>
      </c>
      <c r="C27" s="10" t="s">
        <v>14</v>
      </c>
      <c r="D27" s="10"/>
    </row>
    <row r="28" customFormat="false" ht="15" hidden="false" customHeight="true" outlineLevel="0" collapsed="false">
      <c r="A28" s="6" t="s">
        <v>105</v>
      </c>
      <c r="B28" s="35" t="n">
        <v>127.08</v>
      </c>
      <c r="C28" s="6" t="s">
        <v>10</v>
      </c>
      <c r="D28" s="6"/>
    </row>
    <row r="29" customFormat="false" ht="15" hidden="false" customHeight="true" outlineLevel="0" collapsed="false">
      <c r="A29" s="10" t="s">
        <v>104</v>
      </c>
      <c r="B29" s="34" t="n">
        <v>149.18</v>
      </c>
      <c r="C29" s="10" t="s">
        <v>7</v>
      </c>
      <c r="D29" s="10"/>
    </row>
    <row r="30" customFormat="false" ht="15" hidden="false" customHeight="true" outlineLevel="0" collapsed="false">
      <c r="A30" s="6" t="s">
        <v>279</v>
      </c>
      <c r="B30" s="35" t="n">
        <v>480.52</v>
      </c>
      <c r="C30" s="6" t="s">
        <v>7</v>
      </c>
      <c r="D30" s="6"/>
    </row>
    <row r="31" customFormat="false" ht="15" hidden="false" customHeight="true" outlineLevel="0" collapsed="false">
      <c r="A31" s="10" t="s">
        <v>276</v>
      </c>
      <c r="B31" s="34" t="n">
        <v>241.48</v>
      </c>
      <c r="C31" s="10" t="s">
        <v>10</v>
      </c>
      <c r="D31" s="10"/>
    </row>
    <row r="32" customFormat="false" ht="15" hidden="false" customHeight="true" outlineLevel="0" collapsed="false">
      <c r="A32" s="6" t="s">
        <v>151</v>
      </c>
      <c r="B32" s="35" t="n">
        <v>29.57</v>
      </c>
      <c r="C32" s="6" t="s">
        <v>10</v>
      </c>
      <c r="D32" s="6"/>
    </row>
    <row r="33" customFormat="false" ht="15" hidden="false" customHeight="true" outlineLevel="0" collapsed="false">
      <c r="A33" s="10" t="s">
        <v>150</v>
      </c>
      <c r="B33" s="34" t="n">
        <v>17.05</v>
      </c>
      <c r="C33" s="10" t="s">
        <v>7</v>
      </c>
      <c r="D33" s="10"/>
    </row>
    <row r="34" customFormat="false" ht="15" hidden="false" customHeight="true" outlineLevel="0" collapsed="false">
      <c r="A34" s="6" t="s">
        <v>384</v>
      </c>
      <c r="B34" s="35" t="n">
        <v>117</v>
      </c>
      <c r="C34" s="6" t="s">
        <v>14</v>
      </c>
      <c r="D34" s="6"/>
    </row>
    <row r="35" customFormat="false" ht="15" hidden="false" customHeight="true" outlineLevel="0" collapsed="false">
      <c r="A35" s="10" t="s">
        <v>122</v>
      </c>
      <c r="B35" s="34" t="n">
        <v>23.93</v>
      </c>
      <c r="C35" s="10" t="s">
        <v>14</v>
      </c>
      <c r="D35" s="10"/>
    </row>
    <row r="36" customFormat="false" ht="15" hidden="false" customHeight="true" outlineLevel="0" collapsed="false">
      <c r="A36" s="6" t="s">
        <v>275</v>
      </c>
      <c r="B36" s="35" t="n">
        <v>64.24</v>
      </c>
      <c r="C36" s="6" t="s">
        <v>14</v>
      </c>
      <c r="D36" s="6"/>
    </row>
    <row r="37" customFormat="false" ht="15" hidden="false" customHeight="true" outlineLevel="0" collapsed="false">
      <c r="A37" s="10" t="s">
        <v>410</v>
      </c>
      <c r="B37" s="34" t="n">
        <v>42</v>
      </c>
      <c r="C37" s="10" t="s">
        <v>14</v>
      </c>
      <c r="D37" s="10"/>
    </row>
    <row r="38" customFormat="false" ht="15" hidden="false" customHeight="true" outlineLevel="0" collapsed="false">
      <c r="A38" s="6"/>
      <c r="B38" s="35"/>
      <c r="C38" s="6"/>
      <c r="D38" s="6"/>
    </row>
    <row r="39" customFormat="false" ht="15" hidden="false" customHeight="true" outlineLevel="0" collapsed="false">
      <c r="A39" s="10"/>
      <c r="B39" s="34"/>
      <c r="C39" s="10"/>
      <c r="D39" s="10"/>
    </row>
    <row r="40" customFormat="false" ht="15" hidden="false" customHeight="true" outlineLevel="0" collapsed="false">
      <c r="A40" s="6"/>
      <c r="B40" s="35"/>
      <c r="C40" s="6"/>
      <c r="D40" s="6"/>
    </row>
    <row r="41" customFormat="false" ht="15" hidden="false" customHeight="true" outlineLevel="0" collapsed="false">
      <c r="A41" s="10"/>
      <c r="B41" s="34"/>
      <c r="C41" s="10"/>
      <c r="D41" s="10"/>
    </row>
    <row r="42" customFormat="false" ht="15" hidden="false" customHeight="true" outlineLevel="0" collapsed="false">
      <c r="A42" s="6"/>
      <c r="B42" s="35"/>
      <c r="C42" s="6"/>
      <c r="D42" s="6"/>
    </row>
    <row r="43" customFormat="false" ht="15" hidden="false" customHeight="true" outlineLevel="0" collapsed="false">
      <c r="A43" s="18" t="s">
        <v>38</v>
      </c>
      <c r="B43" s="36" t="n">
        <f aca="false">SUM(B11:B42)</f>
        <v>4262.95</v>
      </c>
      <c r="C43" s="18"/>
      <c r="D43" s="18"/>
    </row>
    <row r="44" customFormat="false" ht="6" hidden="false" customHeight="true" outlineLevel="0" collapsed="false"/>
    <row r="45" customFormat="false" ht="15" hidden="false" customHeight="true" outlineLevel="0" collapsed="false">
      <c r="A45" s="20" t="s">
        <v>39</v>
      </c>
      <c r="B45" s="20"/>
      <c r="C45" s="20"/>
      <c r="D45" s="20"/>
    </row>
    <row r="46" customFormat="false" ht="15" hidden="false" customHeight="true" outlineLevel="0" collapsed="false">
      <c r="A46" s="21" t="s">
        <v>40</v>
      </c>
      <c r="B46" s="37" t="n">
        <f aca="false">B7</f>
        <v>0</v>
      </c>
      <c r="C46" s="23"/>
      <c r="D46" s="23"/>
    </row>
    <row r="47" customFormat="false" ht="15" hidden="false" customHeight="true" outlineLevel="0" collapsed="false">
      <c r="A47" s="24" t="s">
        <v>41</v>
      </c>
      <c r="B47" s="38" t="n">
        <f aca="false">B43</f>
        <v>4262.95</v>
      </c>
      <c r="C47" s="26"/>
      <c r="D47" s="26"/>
    </row>
    <row r="48" customFormat="false" ht="15" hidden="false" customHeight="true" outlineLevel="0" collapsed="false">
      <c r="A48" s="27" t="s">
        <v>42</v>
      </c>
      <c r="B48" s="39" t="n">
        <f aca="false">B46-B47</f>
        <v>-4262.95</v>
      </c>
      <c r="C48" s="29"/>
      <c r="D48" s="29"/>
    </row>
  </sheetData>
  <mergeCells count="7">
    <mergeCell ref="A1:D1"/>
    <mergeCell ref="A3:D3"/>
    <mergeCell ref="A9:D9"/>
    <mergeCell ref="A45:D45"/>
    <mergeCell ref="C46:D46"/>
    <mergeCell ref="C47:D47"/>
    <mergeCell ref="C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411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412</v>
      </c>
      <c r="B11" s="34" t="n">
        <v>62.56</v>
      </c>
      <c r="C11" s="10" t="s">
        <v>7</v>
      </c>
      <c r="D11" s="10"/>
    </row>
    <row r="12" customFormat="false" ht="15" hidden="false" customHeight="true" outlineLevel="0" collapsed="false">
      <c r="A12" s="6" t="s">
        <v>105</v>
      </c>
      <c r="B12" s="35" t="n">
        <v>150</v>
      </c>
      <c r="C12" s="6" t="s">
        <v>10</v>
      </c>
      <c r="D12" s="6"/>
    </row>
    <row r="13" customFormat="false" ht="15" hidden="false" customHeight="true" outlineLevel="0" collapsed="false">
      <c r="A13" s="10" t="s">
        <v>256</v>
      </c>
      <c r="B13" s="34" t="n">
        <v>185</v>
      </c>
      <c r="C13" s="10" t="s">
        <v>14</v>
      </c>
      <c r="D13" s="10"/>
    </row>
    <row r="14" customFormat="false" ht="15" hidden="false" customHeight="true" outlineLevel="0" collapsed="false">
      <c r="A14" s="6" t="s">
        <v>140</v>
      </c>
      <c r="B14" s="35" t="n">
        <v>67.9</v>
      </c>
      <c r="C14" s="6" t="s">
        <v>14</v>
      </c>
      <c r="D14" s="6"/>
    </row>
    <row r="15" customFormat="false" ht="15" hidden="false" customHeight="true" outlineLevel="0" collapsed="false">
      <c r="A15" s="10" t="s">
        <v>413</v>
      </c>
      <c r="B15" s="34" t="n">
        <v>230.25</v>
      </c>
      <c r="C15" s="10" t="s">
        <v>14</v>
      </c>
      <c r="D15" s="10"/>
    </row>
    <row r="16" customFormat="false" ht="15" hidden="false" customHeight="true" outlineLevel="0" collapsed="false">
      <c r="A16" s="6" t="s">
        <v>414</v>
      </c>
      <c r="B16" s="35" t="n">
        <v>111.98</v>
      </c>
      <c r="C16" s="6" t="s">
        <v>7</v>
      </c>
      <c r="D16" s="6"/>
    </row>
    <row r="17" customFormat="false" ht="15" hidden="false" customHeight="true" outlineLevel="0" collapsed="false">
      <c r="A17" s="10" t="s">
        <v>415</v>
      </c>
      <c r="B17" s="34" t="n">
        <v>41.79</v>
      </c>
      <c r="C17" s="10" t="s">
        <v>14</v>
      </c>
      <c r="D17" s="10"/>
    </row>
    <row r="18" customFormat="false" ht="15" hidden="false" customHeight="true" outlineLevel="0" collapsed="false">
      <c r="A18" s="6" t="s">
        <v>416</v>
      </c>
      <c r="B18" s="35" t="n">
        <v>65</v>
      </c>
      <c r="C18" s="6" t="s">
        <v>14</v>
      </c>
      <c r="D18" s="6"/>
    </row>
    <row r="19" customFormat="false" ht="15" hidden="false" customHeight="true" outlineLevel="0" collapsed="false">
      <c r="A19" s="10" t="s">
        <v>417</v>
      </c>
      <c r="B19" s="34" t="n">
        <v>71.37</v>
      </c>
      <c r="C19" s="10" t="s">
        <v>14</v>
      </c>
      <c r="D19" s="10"/>
    </row>
    <row r="20" customFormat="false" ht="15" hidden="false" customHeight="true" outlineLevel="0" collapsed="false">
      <c r="A20" s="6" t="s">
        <v>418</v>
      </c>
      <c r="B20" s="35" t="n">
        <v>208</v>
      </c>
      <c r="C20" s="6" t="s">
        <v>14</v>
      </c>
      <c r="D20" s="6"/>
    </row>
    <row r="21" customFormat="false" ht="15" hidden="false" customHeight="true" outlineLevel="0" collapsed="false">
      <c r="A21" s="10" t="s">
        <v>31</v>
      </c>
      <c r="B21" s="34" t="n">
        <v>75</v>
      </c>
      <c r="C21" s="10" t="s">
        <v>14</v>
      </c>
      <c r="D21" s="10"/>
    </row>
    <row r="22" customFormat="false" ht="15" hidden="false" customHeight="true" outlineLevel="0" collapsed="false">
      <c r="A22" s="6" t="s">
        <v>33</v>
      </c>
      <c r="B22" s="35" t="n">
        <v>115.92</v>
      </c>
      <c r="C22" s="6" t="s">
        <v>14</v>
      </c>
      <c r="D22" s="6"/>
    </row>
    <row r="23" customFormat="false" ht="15" hidden="false" customHeight="true" outlineLevel="0" collapsed="false">
      <c r="A23" s="10" t="s">
        <v>409</v>
      </c>
      <c r="B23" s="34" t="n">
        <v>778</v>
      </c>
      <c r="C23" s="10" t="s">
        <v>14</v>
      </c>
      <c r="D23" s="10"/>
    </row>
    <row r="24" customFormat="false" ht="15" hidden="false" customHeight="true" outlineLevel="0" collapsed="false">
      <c r="A24" s="6" t="s">
        <v>274</v>
      </c>
      <c r="B24" s="35" t="n">
        <v>865</v>
      </c>
      <c r="C24" s="6" t="s">
        <v>14</v>
      </c>
      <c r="D24" s="6"/>
    </row>
    <row r="25" customFormat="false" ht="15" hidden="false" customHeight="true" outlineLevel="0" collapsed="false">
      <c r="A25" s="10" t="s">
        <v>17</v>
      </c>
      <c r="B25" s="34" t="n">
        <v>35</v>
      </c>
      <c r="C25" s="10" t="s">
        <v>14</v>
      </c>
      <c r="D25" s="10"/>
    </row>
    <row r="26" customFormat="false" ht="15" hidden="false" customHeight="true" outlineLevel="0" collapsed="false">
      <c r="A26" s="6" t="s">
        <v>16</v>
      </c>
      <c r="B26" s="35" t="n">
        <v>101.5</v>
      </c>
      <c r="C26" s="6" t="s">
        <v>14</v>
      </c>
      <c r="D26" s="6"/>
    </row>
    <row r="27" customFormat="false" ht="15" hidden="false" customHeight="true" outlineLevel="0" collapsed="false">
      <c r="A27" s="10" t="s">
        <v>205</v>
      </c>
      <c r="B27" s="34" t="n">
        <v>7</v>
      </c>
      <c r="C27" s="10" t="s">
        <v>7</v>
      </c>
      <c r="D27" s="10" t="s">
        <v>419</v>
      </c>
    </row>
    <row r="28" customFormat="false" ht="15" hidden="false" customHeight="true" outlineLevel="0" collapsed="false">
      <c r="A28" s="6" t="s">
        <v>151</v>
      </c>
      <c r="B28" s="35" t="n">
        <v>29.57</v>
      </c>
      <c r="C28" s="6" t="s">
        <v>10</v>
      </c>
      <c r="D28" s="6"/>
    </row>
    <row r="29" customFormat="false" ht="15" hidden="false" customHeight="true" outlineLevel="0" collapsed="false">
      <c r="A29" s="10" t="s">
        <v>150</v>
      </c>
      <c r="B29" s="34" t="n">
        <v>17.05</v>
      </c>
      <c r="C29" s="10" t="s">
        <v>7</v>
      </c>
      <c r="D29" s="10"/>
    </row>
    <row r="30" customFormat="false" ht="15" hidden="false" customHeight="true" outlineLevel="0" collapsed="false">
      <c r="A30" s="6" t="s">
        <v>420</v>
      </c>
      <c r="B30" s="35" t="n">
        <v>30</v>
      </c>
      <c r="C30" s="6" t="s">
        <v>14</v>
      </c>
      <c r="D30" s="6"/>
    </row>
    <row r="31" customFormat="false" ht="15" hidden="false" customHeight="true" outlineLevel="0" collapsed="false">
      <c r="A31" s="10" t="s">
        <v>421</v>
      </c>
      <c r="B31" s="34" t="n">
        <v>64.24</v>
      </c>
      <c r="C31" s="10" t="s">
        <v>14</v>
      </c>
      <c r="D31" s="10"/>
    </row>
    <row r="32" customFormat="false" ht="15" hidden="false" customHeight="true" outlineLevel="0" collapsed="false">
      <c r="A32" s="6" t="s">
        <v>104</v>
      </c>
      <c r="B32" s="35" t="n">
        <v>99</v>
      </c>
      <c r="C32" s="6" t="s">
        <v>7</v>
      </c>
      <c r="D32" s="6"/>
    </row>
    <row r="33" customFormat="false" ht="15" hidden="false" customHeight="true" outlineLevel="0" collapsed="false">
      <c r="A33" s="10" t="s">
        <v>67</v>
      </c>
      <c r="B33" s="34" t="n">
        <v>8</v>
      </c>
      <c r="C33" s="10" t="s">
        <v>14</v>
      </c>
      <c r="D33" s="10"/>
    </row>
    <row r="34" customFormat="false" ht="15" hidden="false" customHeight="true" outlineLevel="0" collapsed="false">
      <c r="A34" s="6" t="s">
        <v>384</v>
      </c>
      <c r="B34" s="35" t="n">
        <v>88.12</v>
      </c>
      <c r="C34" s="6" t="s">
        <v>14</v>
      </c>
      <c r="D34" s="6"/>
    </row>
    <row r="35" customFormat="false" ht="15" hidden="false" customHeight="true" outlineLevel="0" collapsed="false">
      <c r="A35" s="10" t="s">
        <v>422</v>
      </c>
      <c r="B35" s="34" t="n">
        <v>68</v>
      </c>
      <c r="C35" s="10" t="s">
        <v>14</v>
      </c>
      <c r="D35" s="10"/>
    </row>
    <row r="36" customFormat="false" ht="15" hidden="false" customHeight="true" outlineLevel="0" collapsed="false">
      <c r="A36" s="6" t="s">
        <v>423</v>
      </c>
      <c r="B36" s="35" t="n">
        <v>50</v>
      </c>
      <c r="C36" s="6" t="s">
        <v>14</v>
      </c>
      <c r="D36" s="6"/>
    </row>
    <row r="37" customFormat="false" ht="15" hidden="false" customHeight="true" outlineLevel="0" collapsed="false">
      <c r="A37" s="10" t="s">
        <v>424</v>
      </c>
      <c r="B37" s="34" t="n">
        <v>400</v>
      </c>
      <c r="C37" s="10" t="s">
        <v>7</v>
      </c>
      <c r="D37" s="10"/>
    </row>
    <row r="38" customFormat="false" ht="15" hidden="false" customHeight="true" outlineLevel="0" collapsed="false">
      <c r="A38" s="6"/>
      <c r="B38" s="35"/>
      <c r="C38" s="6"/>
      <c r="D38" s="6"/>
    </row>
    <row r="39" customFormat="false" ht="15" hidden="false" customHeight="true" outlineLevel="0" collapsed="false">
      <c r="A39" s="10"/>
      <c r="B39" s="34"/>
      <c r="C39" s="10"/>
      <c r="D39" s="10"/>
    </row>
    <row r="40" customFormat="false" ht="15" hidden="false" customHeight="true" outlineLevel="0" collapsed="false">
      <c r="A40" s="6"/>
      <c r="B40" s="35"/>
      <c r="C40" s="6"/>
      <c r="D40" s="6"/>
    </row>
    <row r="41" customFormat="false" ht="15" hidden="false" customHeight="true" outlineLevel="0" collapsed="false">
      <c r="A41" s="10"/>
      <c r="B41" s="34"/>
      <c r="C41" s="10"/>
      <c r="D41" s="10"/>
    </row>
    <row r="42" customFormat="false" ht="15" hidden="false" customHeight="true" outlineLevel="0" collapsed="false">
      <c r="A42" s="6"/>
      <c r="B42" s="35"/>
      <c r="C42" s="6"/>
      <c r="D42" s="6"/>
    </row>
    <row r="43" customFormat="false" ht="15" hidden="false" customHeight="true" outlineLevel="0" collapsed="false">
      <c r="A43" s="18" t="s">
        <v>38</v>
      </c>
      <c r="B43" s="36" t="n">
        <f aca="false">SUM(B11:B42)</f>
        <v>4025.25</v>
      </c>
      <c r="C43" s="18"/>
      <c r="D43" s="18"/>
    </row>
    <row r="44" customFormat="false" ht="6" hidden="false" customHeight="true" outlineLevel="0" collapsed="false"/>
    <row r="45" customFormat="false" ht="15" hidden="false" customHeight="true" outlineLevel="0" collapsed="false">
      <c r="A45" s="20" t="s">
        <v>39</v>
      </c>
      <c r="B45" s="20"/>
      <c r="C45" s="20"/>
      <c r="D45" s="20"/>
    </row>
    <row r="46" customFormat="false" ht="15" hidden="false" customHeight="true" outlineLevel="0" collapsed="false">
      <c r="A46" s="21" t="s">
        <v>40</v>
      </c>
      <c r="B46" s="37" t="n">
        <f aca="false">B7</f>
        <v>0</v>
      </c>
      <c r="C46" s="23"/>
      <c r="D46" s="23"/>
    </row>
    <row r="47" customFormat="false" ht="15" hidden="false" customHeight="true" outlineLevel="0" collapsed="false">
      <c r="A47" s="24" t="s">
        <v>41</v>
      </c>
      <c r="B47" s="38" t="n">
        <f aca="false">B43</f>
        <v>4025.25</v>
      </c>
      <c r="C47" s="26"/>
      <c r="D47" s="26"/>
    </row>
    <row r="48" customFormat="false" ht="15" hidden="false" customHeight="true" outlineLevel="0" collapsed="false">
      <c r="A48" s="27" t="s">
        <v>42</v>
      </c>
      <c r="B48" s="39" t="n">
        <f aca="false">B46-B47</f>
        <v>-4025.25</v>
      </c>
      <c r="C48" s="29"/>
      <c r="D48" s="29"/>
    </row>
  </sheetData>
  <mergeCells count="7">
    <mergeCell ref="A1:D1"/>
    <mergeCell ref="A3:D3"/>
    <mergeCell ref="A9:D9"/>
    <mergeCell ref="A45:D45"/>
    <mergeCell ref="C46:D46"/>
    <mergeCell ref="C47:D47"/>
    <mergeCell ref="C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425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426</v>
      </c>
      <c r="B11" s="34" t="n">
        <v>62.56</v>
      </c>
      <c r="C11" s="10" t="s">
        <v>7</v>
      </c>
      <c r="D11" s="10"/>
    </row>
    <row r="12" customFormat="false" ht="15" hidden="false" customHeight="true" outlineLevel="0" collapsed="false">
      <c r="A12" s="6" t="s">
        <v>258</v>
      </c>
      <c r="B12" s="35" t="n">
        <v>99.9</v>
      </c>
      <c r="C12" s="6" t="s">
        <v>14</v>
      </c>
      <c r="D12" s="6" t="s">
        <v>427</v>
      </c>
    </row>
    <row r="13" customFormat="false" ht="15" hidden="false" customHeight="true" outlineLevel="0" collapsed="false">
      <c r="A13" s="10" t="s">
        <v>256</v>
      </c>
      <c r="B13" s="34" t="n">
        <v>185</v>
      </c>
      <c r="C13" s="10" t="s">
        <v>14</v>
      </c>
      <c r="D13" s="10"/>
    </row>
    <row r="14" customFormat="false" ht="15" hidden="false" customHeight="true" outlineLevel="0" collapsed="false">
      <c r="A14" s="6" t="s">
        <v>140</v>
      </c>
      <c r="B14" s="35" t="n">
        <v>67.9</v>
      </c>
      <c r="C14" s="6" t="s">
        <v>14</v>
      </c>
      <c r="D14" s="6"/>
    </row>
    <row r="15" customFormat="false" ht="15" hidden="false" customHeight="true" outlineLevel="0" collapsed="false">
      <c r="A15" s="10" t="s">
        <v>428</v>
      </c>
      <c r="B15" s="34" t="n">
        <v>230</v>
      </c>
      <c r="C15" s="10" t="s">
        <v>14</v>
      </c>
      <c r="D15" s="10"/>
    </row>
    <row r="16" customFormat="false" ht="15" hidden="false" customHeight="true" outlineLevel="0" collapsed="false">
      <c r="A16" s="6" t="s">
        <v>429</v>
      </c>
      <c r="B16" s="35" t="n">
        <v>111.98</v>
      </c>
      <c r="C16" s="6" t="s">
        <v>7</v>
      </c>
      <c r="D16" s="6"/>
    </row>
    <row r="17" customFormat="false" ht="15" hidden="false" customHeight="true" outlineLevel="0" collapsed="false">
      <c r="A17" s="10" t="s">
        <v>430</v>
      </c>
      <c r="B17" s="34" t="n">
        <v>41.79</v>
      </c>
      <c r="C17" s="10" t="s">
        <v>14</v>
      </c>
      <c r="D17" s="10"/>
    </row>
    <row r="18" customFormat="false" ht="15" hidden="false" customHeight="true" outlineLevel="0" collapsed="false">
      <c r="A18" s="6" t="s">
        <v>431</v>
      </c>
      <c r="B18" s="35" t="n">
        <v>208</v>
      </c>
      <c r="C18" s="6" t="s">
        <v>14</v>
      </c>
      <c r="D18" s="6"/>
    </row>
    <row r="19" customFormat="false" ht="15" hidden="false" customHeight="true" outlineLevel="0" collapsed="false">
      <c r="A19" s="10" t="s">
        <v>31</v>
      </c>
      <c r="B19" s="34" t="n">
        <v>75.54</v>
      </c>
      <c r="C19" s="10" t="s">
        <v>14</v>
      </c>
      <c r="D19" s="10"/>
    </row>
    <row r="20" customFormat="false" ht="15" hidden="false" customHeight="true" outlineLevel="0" collapsed="false">
      <c r="A20" s="6" t="s">
        <v>33</v>
      </c>
      <c r="B20" s="35" t="n">
        <v>140.92</v>
      </c>
      <c r="C20" s="6" t="s">
        <v>14</v>
      </c>
      <c r="D20" s="6"/>
    </row>
    <row r="21" customFormat="false" ht="15" hidden="false" customHeight="true" outlineLevel="0" collapsed="false">
      <c r="A21" s="10" t="s">
        <v>409</v>
      </c>
      <c r="B21" s="34" t="n">
        <v>280.45</v>
      </c>
      <c r="C21" s="10" t="s">
        <v>14</v>
      </c>
      <c r="D21" s="10"/>
    </row>
    <row r="22" customFormat="false" ht="15" hidden="false" customHeight="true" outlineLevel="0" collapsed="false">
      <c r="A22" s="6" t="s">
        <v>274</v>
      </c>
      <c r="B22" s="35" t="n">
        <v>865</v>
      </c>
      <c r="C22" s="6" t="s">
        <v>14</v>
      </c>
      <c r="D22" s="6"/>
    </row>
    <row r="23" customFormat="false" ht="15" hidden="false" customHeight="true" outlineLevel="0" collapsed="false">
      <c r="A23" s="10" t="s">
        <v>17</v>
      </c>
      <c r="B23" s="34" t="n">
        <v>35</v>
      </c>
      <c r="C23" s="10" t="s">
        <v>14</v>
      </c>
      <c r="D23" s="10"/>
    </row>
    <row r="24" customFormat="false" ht="15" hidden="false" customHeight="true" outlineLevel="0" collapsed="false">
      <c r="A24" s="6" t="s">
        <v>16</v>
      </c>
      <c r="B24" s="35" t="n">
        <v>101.5</v>
      </c>
      <c r="C24" s="6" t="s">
        <v>14</v>
      </c>
      <c r="D24" s="6"/>
    </row>
    <row r="25" customFormat="false" ht="15" hidden="false" customHeight="true" outlineLevel="0" collapsed="false">
      <c r="A25" s="10" t="s">
        <v>151</v>
      </c>
      <c r="B25" s="34" t="n">
        <v>29.57</v>
      </c>
      <c r="C25" s="10" t="s">
        <v>10</v>
      </c>
      <c r="D25" s="10"/>
    </row>
    <row r="26" customFormat="false" ht="15" hidden="false" customHeight="true" outlineLevel="0" collapsed="false">
      <c r="A26" s="6" t="s">
        <v>150</v>
      </c>
      <c r="B26" s="35" t="n">
        <v>17.05</v>
      </c>
      <c r="C26" s="6" t="s">
        <v>7</v>
      </c>
      <c r="D26" s="6"/>
    </row>
    <row r="27" customFormat="false" ht="15" hidden="false" customHeight="true" outlineLevel="0" collapsed="false">
      <c r="A27" s="10" t="s">
        <v>275</v>
      </c>
      <c r="B27" s="34" t="n">
        <v>64.24</v>
      </c>
      <c r="C27" s="10" t="s">
        <v>14</v>
      </c>
      <c r="D27" s="10"/>
    </row>
    <row r="28" customFormat="false" ht="15" hidden="false" customHeight="true" outlineLevel="0" collapsed="false">
      <c r="A28" s="6" t="s">
        <v>105</v>
      </c>
      <c r="B28" s="35" t="n">
        <v>138.27</v>
      </c>
      <c r="C28" s="6" t="s">
        <v>10</v>
      </c>
      <c r="D28" s="6"/>
    </row>
    <row r="29" customFormat="false" ht="15" hidden="false" customHeight="true" outlineLevel="0" collapsed="false">
      <c r="A29" s="10" t="s">
        <v>104</v>
      </c>
      <c r="B29" s="34" t="n">
        <v>146.71</v>
      </c>
      <c r="C29" s="10" t="s">
        <v>7</v>
      </c>
      <c r="D29" s="10"/>
    </row>
    <row r="30" customFormat="false" ht="15" hidden="false" customHeight="true" outlineLevel="0" collapsed="false">
      <c r="A30" s="6" t="s">
        <v>67</v>
      </c>
      <c r="B30" s="35" t="n">
        <v>13</v>
      </c>
      <c r="C30" s="6" t="s">
        <v>14</v>
      </c>
      <c r="D30" s="6" t="s">
        <v>432</v>
      </c>
    </row>
    <row r="31" customFormat="false" ht="15" hidden="false" customHeight="true" outlineLevel="0" collapsed="false">
      <c r="A31" s="10" t="s">
        <v>205</v>
      </c>
      <c r="B31" s="34" t="n">
        <v>7</v>
      </c>
      <c r="C31" s="10" t="s">
        <v>7</v>
      </c>
      <c r="D31" s="10" t="s">
        <v>433</v>
      </c>
    </row>
    <row r="32" customFormat="false" ht="15" hidden="false" customHeight="true" outlineLevel="0" collapsed="false">
      <c r="A32" s="6" t="s">
        <v>434</v>
      </c>
      <c r="B32" s="35" t="n">
        <v>100</v>
      </c>
      <c r="C32" s="6" t="s">
        <v>14</v>
      </c>
      <c r="D32" s="6"/>
    </row>
    <row r="33" customFormat="false" ht="15" hidden="false" customHeight="true" outlineLevel="0" collapsed="false">
      <c r="A33" s="10" t="s">
        <v>435</v>
      </c>
      <c r="B33" s="34" t="n">
        <v>100</v>
      </c>
      <c r="C33" s="10" t="s">
        <v>14</v>
      </c>
      <c r="D33" s="10"/>
    </row>
    <row r="34" customFormat="false" ht="15" hidden="false" customHeight="true" outlineLevel="0" collapsed="false">
      <c r="A34" s="6" t="s">
        <v>416</v>
      </c>
      <c r="B34" s="35" t="n">
        <v>65</v>
      </c>
      <c r="C34" s="6" t="s">
        <v>14</v>
      </c>
      <c r="D34" s="6"/>
    </row>
    <row r="35" customFormat="false" ht="15" hidden="false" customHeight="true" outlineLevel="0" collapsed="false">
      <c r="A35" s="10" t="s">
        <v>384</v>
      </c>
      <c r="B35" s="34" t="n">
        <v>232.34</v>
      </c>
      <c r="C35" s="10" t="s">
        <v>14</v>
      </c>
      <c r="D35" s="10"/>
    </row>
    <row r="36" customFormat="false" ht="15" hidden="false" customHeight="true" outlineLevel="0" collapsed="false">
      <c r="A36" s="6"/>
      <c r="B36" s="35"/>
      <c r="C36" s="6"/>
      <c r="D36" s="6"/>
    </row>
    <row r="37" customFormat="false" ht="15" hidden="false" customHeight="true" outlineLevel="0" collapsed="false">
      <c r="A37" s="10"/>
      <c r="B37" s="34"/>
      <c r="C37" s="10"/>
      <c r="D37" s="10"/>
    </row>
    <row r="38" customFormat="false" ht="15" hidden="false" customHeight="true" outlineLevel="0" collapsed="false">
      <c r="A38" s="6"/>
      <c r="B38" s="35"/>
      <c r="C38" s="6"/>
      <c r="D38" s="6"/>
    </row>
    <row r="39" customFormat="false" ht="15" hidden="false" customHeight="true" outlineLevel="0" collapsed="false">
      <c r="A39" s="10"/>
      <c r="B39" s="34"/>
      <c r="C39" s="10"/>
      <c r="D39" s="10"/>
    </row>
    <row r="40" customFormat="false" ht="15" hidden="false" customHeight="true" outlineLevel="0" collapsed="false">
      <c r="A40" s="6"/>
      <c r="B40" s="35"/>
      <c r="C40" s="6"/>
      <c r="D40" s="6"/>
    </row>
    <row r="41" customFormat="false" ht="15" hidden="false" customHeight="true" outlineLevel="0" collapsed="false">
      <c r="A41" s="18" t="s">
        <v>38</v>
      </c>
      <c r="B41" s="36" t="n">
        <f aca="false">SUM(B11:B40)</f>
        <v>3418.72</v>
      </c>
      <c r="C41" s="18"/>
      <c r="D41" s="18"/>
    </row>
    <row r="42" customFormat="false" ht="6" hidden="false" customHeight="true" outlineLevel="0" collapsed="false"/>
    <row r="43" customFormat="false" ht="15" hidden="false" customHeight="true" outlineLevel="0" collapsed="false">
      <c r="A43" s="20" t="s">
        <v>39</v>
      </c>
      <c r="B43" s="20"/>
      <c r="C43" s="20"/>
      <c r="D43" s="20"/>
    </row>
    <row r="44" customFormat="false" ht="15" hidden="false" customHeight="true" outlineLevel="0" collapsed="false">
      <c r="A44" s="21" t="s">
        <v>40</v>
      </c>
      <c r="B44" s="37" t="n">
        <f aca="false">B7</f>
        <v>0</v>
      </c>
      <c r="C44" s="23"/>
      <c r="D44" s="23"/>
    </row>
    <row r="45" customFormat="false" ht="15" hidden="false" customHeight="true" outlineLevel="0" collapsed="false">
      <c r="A45" s="24" t="s">
        <v>41</v>
      </c>
      <c r="B45" s="38" t="n">
        <f aca="false">B41</f>
        <v>3418.72</v>
      </c>
      <c r="C45" s="26"/>
      <c r="D45" s="26"/>
    </row>
    <row r="46" customFormat="false" ht="15" hidden="false" customHeight="true" outlineLevel="0" collapsed="false">
      <c r="A46" s="27" t="s">
        <v>42</v>
      </c>
      <c r="B46" s="39" t="n">
        <f aca="false">B44-B45</f>
        <v>-3418.72</v>
      </c>
      <c r="C46" s="29"/>
      <c r="D46" s="29"/>
    </row>
  </sheetData>
  <mergeCells count="7">
    <mergeCell ref="A1:D1"/>
    <mergeCell ref="A3:D3"/>
    <mergeCell ref="A9:D9"/>
    <mergeCell ref="A43:D43"/>
    <mergeCell ref="C44:D44"/>
    <mergeCell ref="C45:D45"/>
    <mergeCell ref="C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436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437</v>
      </c>
      <c r="B11" s="34" t="n">
        <v>231.44</v>
      </c>
      <c r="C11" s="10" t="s">
        <v>14</v>
      </c>
      <c r="D11" s="10"/>
    </row>
    <row r="12" customFormat="false" ht="15" hidden="false" customHeight="true" outlineLevel="0" collapsed="false">
      <c r="A12" s="6" t="s">
        <v>438</v>
      </c>
      <c r="B12" s="35" t="n">
        <v>41.67</v>
      </c>
      <c r="C12" s="6" t="s">
        <v>14</v>
      </c>
      <c r="D12" s="6"/>
    </row>
    <row r="13" customFormat="false" ht="15" hidden="false" customHeight="true" outlineLevel="0" collapsed="false">
      <c r="A13" s="10" t="s">
        <v>439</v>
      </c>
      <c r="B13" s="34" t="n">
        <v>171.94</v>
      </c>
      <c r="C13" s="10" t="s">
        <v>14</v>
      </c>
      <c r="D13" s="10"/>
    </row>
    <row r="14" customFormat="false" ht="15" hidden="false" customHeight="true" outlineLevel="0" collapsed="false">
      <c r="A14" s="6" t="s">
        <v>170</v>
      </c>
      <c r="B14" s="35" t="n">
        <v>250</v>
      </c>
      <c r="C14" s="6" t="s">
        <v>14</v>
      </c>
      <c r="D14" s="6"/>
    </row>
    <row r="15" customFormat="false" ht="15" hidden="false" customHeight="true" outlineLevel="0" collapsed="false">
      <c r="A15" s="10" t="s">
        <v>140</v>
      </c>
      <c r="B15" s="34" t="n">
        <v>67.9</v>
      </c>
      <c r="C15" s="10" t="s">
        <v>14</v>
      </c>
      <c r="D15" s="10"/>
    </row>
    <row r="16" customFormat="false" ht="15" hidden="false" customHeight="true" outlineLevel="0" collapsed="false">
      <c r="A16" s="6" t="s">
        <v>440</v>
      </c>
      <c r="B16" s="35" t="n">
        <v>230</v>
      </c>
      <c r="C16" s="6" t="s">
        <v>14</v>
      </c>
      <c r="D16" s="6"/>
    </row>
    <row r="17" customFormat="false" ht="15" hidden="false" customHeight="true" outlineLevel="0" collapsed="false">
      <c r="A17" s="10" t="s">
        <v>441</v>
      </c>
      <c r="B17" s="34" t="n">
        <v>208</v>
      </c>
      <c r="C17" s="10" t="s">
        <v>14</v>
      </c>
      <c r="D17" s="10"/>
    </row>
    <row r="18" customFormat="false" ht="15" hidden="false" customHeight="true" outlineLevel="0" collapsed="false">
      <c r="A18" s="6" t="s">
        <v>274</v>
      </c>
      <c r="B18" s="35" t="n">
        <v>865</v>
      </c>
      <c r="C18" s="6" t="s">
        <v>14</v>
      </c>
      <c r="D18" s="6"/>
    </row>
    <row r="19" customFormat="false" ht="15" hidden="false" customHeight="true" outlineLevel="0" collapsed="false">
      <c r="A19" s="10" t="s">
        <v>17</v>
      </c>
      <c r="B19" s="34" t="n">
        <v>35</v>
      </c>
      <c r="C19" s="10" t="s">
        <v>14</v>
      </c>
      <c r="D19" s="10"/>
    </row>
    <row r="20" customFormat="false" ht="15" hidden="false" customHeight="true" outlineLevel="0" collapsed="false">
      <c r="A20" s="6" t="s">
        <v>442</v>
      </c>
      <c r="B20" s="35" t="n">
        <v>101.5</v>
      </c>
      <c r="C20" s="6" t="s">
        <v>14</v>
      </c>
      <c r="D20" s="6"/>
    </row>
    <row r="21" customFormat="false" ht="15" hidden="false" customHeight="true" outlineLevel="0" collapsed="false">
      <c r="A21" s="10" t="s">
        <v>33</v>
      </c>
      <c r="B21" s="34" t="n">
        <v>200</v>
      </c>
      <c r="C21" s="10" t="s">
        <v>14</v>
      </c>
      <c r="D21" s="10"/>
    </row>
    <row r="22" customFormat="false" ht="15" hidden="false" customHeight="true" outlineLevel="0" collapsed="false">
      <c r="A22" s="6" t="s">
        <v>31</v>
      </c>
      <c r="B22" s="35" t="n">
        <v>89</v>
      </c>
      <c r="C22" s="6" t="s">
        <v>14</v>
      </c>
      <c r="D22" s="6"/>
    </row>
    <row r="23" customFormat="false" ht="15" hidden="false" customHeight="true" outlineLevel="0" collapsed="false">
      <c r="A23" s="10" t="s">
        <v>151</v>
      </c>
      <c r="B23" s="34" t="n">
        <v>29</v>
      </c>
      <c r="C23" s="10" t="s">
        <v>10</v>
      </c>
      <c r="D23" s="10"/>
    </row>
    <row r="24" customFormat="false" ht="15" hidden="false" customHeight="true" outlineLevel="0" collapsed="false">
      <c r="A24" s="6" t="s">
        <v>275</v>
      </c>
      <c r="B24" s="35" t="n">
        <v>66</v>
      </c>
      <c r="C24" s="6" t="s">
        <v>14</v>
      </c>
      <c r="D24" s="6"/>
    </row>
    <row r="25" customFormat="false" ht="15" hidden="false" customHeight="true" outlineLevel="0" collapsed="false">
      <c r="A25" s="10" t="s">
        <v>150</v>
      </c>
      <c r="B25" s="34" t="n">
        <v>17</v>
      </c>
      <c r="C25" s="10" t="s">
        <v>7</v>
      </c>
      <c r="D25" s="10"/>
    </row>
    <row r="26" customFormat="false" ht="15" hidden="false" customHeight="true" outlineLevel="0" collapsed="false">
      <c r="A26" s="6" t="s">
        <v>409</v>
      </c>
      <c r="B26" s="35" t="n">
        <v>600</v>
      </c>
      <c r="C26" s="6" t="s">
        <v>14</v>
      </c>
      <c r="D26" s="6"/>
    </row>
    <row r="27" customFormat="false" ht="15" hidden="false" customHeight="true" outlineLevel="0" collapsed="false">
      <c r="A27" s="10" t="s">
        <v>105</v>
      </c>
      <c r="B27" s="34" t="n">
        <v>140</v>
      </c>
      <c r="C27" s="10" t="s">
        <v>10</v>
      </c>
      <c r="D27" s="10"/>
    </row>
    <row r="28" customFormat="false" ht="15" hidden="false" customHeight="true" outlineLevel="0" collapsed="false">
      <c r="A28" s="6" t="s">
        <v>104</v>
      </c>
      <c r="B28" s="35" t="n">
        <v>143</v>
      </c>
      <c r="C28" s="6" t="s">
        <v>7</v>
      </c>
      <c r="D28" s="6"/>
    </row>
    <row r="29" customFormat="false" ht="15" hidden="false" customHeight="true" outlineLevel="0" collapsed="false">
      <c r="A29" s="10" t="s">
        <v>443</v>
      </c>
      <c r="B29" s="34" t="n">
        <v>69</v>
      </c>
      <c r="C29" s="10" t="s">
        <v>7</v>
      </c>
      <c r="D29" s="10" t="s">
        <v>263</v>
      </c>
    </row>
    <row r="30" customFormat="false" ht="15" hidden="false" customHeight="true" outlineLevel="0" collapsed="false">
      <c r="A30" s="6" t="s">
        <v>422</v>
      </c>
      <c r="B30" s="35" t="n">
        <v>83</v>
      </c>
      <c r="C30" s="6" t="s">
        <v>14</v>
      </c>
      <c r="D30" s="6"/>
    </row>
    <row r="31" customFormat="false" ht="15" hidden="false" customHeight="true" outlineLevel="0" collapsed="false">
      <c r="A31" s="10" t="s">
        <v>444</v>
      </c>
      <c r="B31" s="34" t="n">
        <v>98</v>
      </c>
      <c r="C31" s="10" t="s">
        <v>7</v>
      </c>
      <c r="D31" s="10"/>
    </row>
    <row r="32" customFormat="false" ht="15" hidden="false" customHeight="true" outlineLevel="0" collapsed="false">
      <c r="A32" s="6" t="s">
        <v>87</v>
      </c>
      <c r="B32" s="35" t="n">
        <v>49.19</v>
      </c>
      <c r="C32" s="6" t="s">
        <v>10</v>
      </c>
      <c r="D32" s="6"/>
    </row>
    <row r="33" customFormat="false" ht="15" hidden="false" customHeight="true" outlineLevel="0" collapsed="false">
      <c r="A33" s="10" t="s">
        <v>445</v>
      </c>
      <c r="B33" s="34" t="n">
        <v>153.25</v>
      </c>
      <c r="C33" s="10" t="s">
        <v>14</v>
      </c>
      <c r="D33" s="10"/>
    </row>
    <row r="34" customFormat="false" ht="15" hidden="false" customHeight="true" outlineLevel="0" collapsed="false">
      <c r="A34" s="6" t="s">
        <v>423</v>
      </c>
      <c r="B34" s="35" t="n">
        <v>40</v>
      </c>
      <c r="C34" s="6" t="s">
        <v>14</v>
      </c>
      <c r="D34" s="6"/>
    </row>
    <row r="35" customFormat="false" ht="15" hidden="false" customHeight="true" outlineLevel="0" collapsed="false">
      <c r="A35" s="10" t="s">
        <v>311</v>
      </c>
      <c r="B35" s="34" t="n">
        <v>78</v>
      </c>
      <c r="C35" s="10" t="s">
        <v>14</v>
      </c>
      <c r="D35" s="10"/>
    </row>
    <row r="36" customFormat="false" ht="15" hidden="false" customHeight="true" outlineLevel="0" collapsed="false">
      <c r="A36" s="6"/>
      <c r="B36" s="35"/>
      <c r="C36" s="6"/>
      <c r="D36" s="6"/>
    </row>
    <row r="37" customFormat="false" ht="15" hidden="false" customHeight="true" outlineLevel="0" collapsed="false">
      <c r="A37" s="10"/>
      <c r="B37" s="34"/>
      <c r="C37" s="10"/>
      <c r="D37" s="10"/>
    </row>
    <row r="38" customFormat="false" ht="15" hidden="false" customHeight="true" outlineLevel="0" collapsed="false">
      <c r="A38" s="6"/>
      <c r="B38" s="35"/>
      <c r="C38" s="6"/>
      <c r="D38" s="6"/>
    </row>
    <row r="39" customFormat="false" ht="15" hidden="false" customHeight="true" outlineLevel="0" collapsed="false">
      <c r="A39" s="10"/>
      <c r="B39" s="34"/>
      <c r="C39" s="10"/>
      <c r="D39" s="10"/>
    </row>
    <row r="40" customFormat="false" ht="15" hidden="false" customHeight="true" outlineLevel="0" collapsed="false">
      <c r="A40" s="6"/>
      <c r="B40" s="35"/>
      <c r="C40" s="6"/>
      <c r="D40" s="6"/>
    </row>
    <row r="41" customFormat="false" ht="15" hidden="false" customHeight="true" outlineLevel="0" collapsed="false">
      <c r="A41" s="18" t="s">
        <v>38</v>
      </c>
      <c r="B41" s="36" t="n">
        <f aca="false">SUM(B11:B40)</f>
        <v>4056.89</v>
      </c>
      <c r="C41" s="18"/>
      <c r="D41" s="18"/>
    </row>
    <row r="42" customFormat="false" ht="6" hidden="false" customHeight="true" outlineLevel="0" collapsed="false"/>
    <row r="43" customFormat="false" ht="15" hidden="false" customHeight="true" outlineLevel="0" collapsed="false">
      <c r="A43" s="20" t="s">
        <v>39</v>
      </c>
      <c r="B43" s="20"/>
      <c r="C43" s="20"/>
      <c r="D43" s="20"/>
    </row>
    <row r="44" customFormat="false" ht="15" hidden="false" customHeight="true" outlineLevel="0" collapsed="false">
      <c r="A44" s="21" t="s">
        <v>40</v>
      </c>
      <c r="B44" s="37" t="n">
        <f aca="false">B7</f>
        <v>0</v>
      </c>
      <c r="C44" s="23"/>
      <c r="D44" s="23"/>
    </row>
    <row r="45" customFormat="false" ht="15" hidden="false" customHeight="true" outlineLevel="0" collapsed="false">
      <c r="A45" s="24" t="s">
        <v>41</v>
      </c>
      <c r="B45" s="38" t="n">
        <f aca="false">B41</f>
        <v>4056.89</v>
      </c>
      <c r="C45" s="26"/>
      <c r="D45" s="26"/>
    </row>
    <row r="46" customFormat="false" ht="15" hidden="false" customHeight="true" outlineLevel="0" collapsed="false">
      <c r="A46" s="27" t="s">
        <v>42</v>
      </c>
      <c r="B46" s="39" t="n">
        <f aca="false">B44-B45</f>
        <v>-4056.89</v>
      </c>
      <c r="C46" s="29"/>
      <c r="D46" s="29"/>
    </row>
  </sheetData>
  <mergeCells count="7">
    <mergeCell ref="A1:D1"/>
    <mergeCell ref="A3:D3"/>
    <mergeCell ref="A9:D9"/>
    <mergeCell ref="A43:D43"/>
    <mergeCell ref="C44:D44"/>
    <mergeCell ref="C45:D45"/>
    <mergeCell ref="C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446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447</v>
      </c>
      <c r="B11" s="34" t="n">
        <v>111.94</v>
      </c>
      <c r="C11" s="10" t="s">
        <v>7</v>
      </c>
      <c r="D11" s="10"/>
    </row>
    <row r="12" customFormat="false" ht="15" hidden="false" customHeight="true" outlineLevel="0" collapsed="false">
      <c r="A12" s="6" t="s">
        <v>448</v>
      </c>
      <c r="B12" s="35" t="n">
        <v>41.79</v>
      </c>
      <c r="C12" s="6" t="s">
        <v>14</v>
      </c>
      <c r="D12" s="6"/>
    </row>
    <row r="13" customFormat="false" ht="15" hidden="false" customHeight="true" outlineLevel="0" collapsed="false">
      <c r="A13" s="10" t="s">
        <v>170</v>
      </c>
      <c r="B13" s="34" t="n">
        <v>250</v>
      </c>
      <c r="C13" s="10" t="s">
        <v>14</v>
      </c>
      <c r="D13" s="10"/>
    </row>
    <row r="14" customFormat="false" ht="15" hidden="false" customHeight="true" outlineLevel="0" collapsed="false">
      <c r="A14" s="6" t="s">
        <v>173</v>
      </c>
      <c r="B14" s="35" t="n">
        <v>23.66</v>
      </c>
      <c r="C14" s="6" t="s">
        <v>14</v>
      </c>
      <c r="D14" s="6"/>
    </row>
    <row r="15" customFormat="false" ht="15" hidden="false" customHeight="true" outlineLevel="0" collapsed="false">
      <c r="A15" s="10" t="s">
        <v>449</v>
      </c>
      <c r="B15" s="34" t="n">
        <v>230</v>
      </c>
      <c r="C15" s="10" t="s">
        <v>14</v>
      </c>
      <c r="D15" s="10"/>
    </row>
    <row r="16" customFormat="false" ht="15" hidden="false" customHeight="true" outlineLevel="0" collapsed="false">
      <c r="A16" s="6" t="s">
        <v>450</v>
      </c>
      <c r="B16" s="35" t="n">
        <v>208</v>
      </c>
      <c r="C16" s="6" t="s">
        <v>14</v>
      </c>
      <c r="D16" s="6"/>
    </row>
    <row r="17" customFormat="false" ht="15" hidden="false" customHeight="true" outlineLevel="0" collapsed="false">
      <c r="A17" s="10" t="s">
        <v>274</v>
      </c>
      <c r="B17" s="34" t="n">
        <v>887.23</v>
      </c>
      <c r="C17" s="10" t="s">
        <v>14</v>
      </c>
      <c r="D17" s="10"/>
    </row>
    <row r="18" customFormat="false" ht="15" hidden="false" customHeight="true" outlineLevel="0" collapsed="false">
      <c r="A18" s="6" t="s">
        <v>17</v>
      </c>
      <c r="B18" s="35" t="n">
        <v>35.98</v>
      </c>
      <c r="C18" s="6" t="s">
        <v>14</v>
      </c>
      <c r="D18" s="6"/>
    </row>
    <row r="19" customFormat="false" ht="15" hidden="false" customHeight="true" outlineLevel="0" collapsed="false">
      <c r="A19" s="10" t="s">
        <v>88</v>
      </c>
      <c r="B19" s="34" t="n">
        <v>49.64</v>
      </c>
      <c r="C19" s="10" t="s">
        <v>14</v>
      </c>
      <c r="D19" s="10"/>
    </row>
    <row r="20" customFormat="false" ht="15" hidden="false" customHeight="true" outlineLevel="0" collapsed="false">
      <c r="A20" s="6" t="s">
        <v>33</v>
      </c>
      <c r="B20" s="35" t="n">
        <v>203.6</v>
      </c>
      <c r="C20" s="6" t="s">
        <v>14</v>
      </c>
      <c r="D20" s="6"/>
    </row>
    <row r="21" customFormat="false" ht="15" hidden="false" customHeight="true" outlineLevel="0" collapsed="false">
      <c r="A21" s="10" t="s">
        <v>31</v>
      </c>
      <c r="B21" s="34" t="n">
        <v>120.21</v>
      </c>
      <c r="C21" s="10" t="s">
        <v>14</v>
      </c>
      <c r="D21" s="10"/>
    </row>
    <row r="22" customFormat="false" ht="15" hidden="false" customHeight="true" outlineLevel="0" collapsed="false">
      <c r="A22" s="6" t="s">
        <v>151</v>
      </c>
      <c r="B22" s="35" t="n">
        <v>29.99</v>
      </c>
      <c r="C22" s="6" t="s">
        <v>10</v>
      </c>
      <c r="D22" s="6"/>
    </row>
    <row r="23" customFormat="false" ht="15" hidden="false" customHeight="true" outlineLevel="0" collapsed="false">
      <c r="A23" s="10" t="s">
        <v>150</v>
      </c>
      <c r="B23" s="34" t="n">
        <v>17.23</v>
      </c>
      <c r="C23" s="10" t="s">
        <v>7</v>
      </c>
      <c r="D23" s="10"/>
    </row>
    <row r="24" customFormat="false" ht="15" hidden="false" customHeight="true" outlineLevel="0" collapsed="false">
      <c r="A24" s="6" t="s">
        <v>451</v>
      </c>
      <c r="B24" s="35" t="n">
        <v>66.13</v>
      </c>
      <c r="C24" s="6" t="s">
        <v>14</v>
      </c>
      <c r="D24" s="6"/>
    </row>
    <row r="25" customFormat="false" ht="15" hidden="false" customHeight="true" outlineLevel="0" collapsed="false">
      <c r="A25" s="10" t="s">
        <v>409</v>
      </c>
      <c r="B25" s="34" t="n">
        <v>750</v>
      </c>
      <c r="C25" s="10" t="s">
        <v>14</v>
      </c>
      <c r="D25" s="10"/>
    </row>
    <row r="26" customFormat="false" ht="15" hidden="false" customHeight="true" outlineLevel="0" collapsed="false">
      <c r="A26" s="6" t="s">
        <v>67</v>
      </c>
      <c r="B26" s="35" t="n">
        <v>13</v>
      </c>
      <c r="C26" s="6" t="s">
        <v>14</v>
      </c>
      <c r="D26" s="6"/>
    </row>
    <row r="27" customFormat="false" ht="15" hidden="false" customHeight="true" outlineLevel="0" collapsed="false">
      <c r="A27" s="10" t="s">
        <v>104</v>
      </c>
      <c r="B27" s="34" t="n">
        <v>140.22</v>
      </c>
      <c r="C27" s="10" t="s">
        <v>7</v>
      </c>
      <c r="D27" s="10"/>
    </row>
    <row r="28" customFormat="false" ht="15" hidden="false" customHeight="true" outlineLevel="0" collapsed="false">
      <c r="A28" s="6" t="s">
        <v>105</v>
      </c>
      <c r="B28" s="35" t="n">
        <v>133.59</v>
      </c>
      <c r="C28" s="6" t="s">
        <v>10</v>
      </c>
      <c r="D28" s="6"/>
    </row>
    <row r="29" customFormat="false" ht="15" hidden="false" customHeight="true" outlineLevel="0" collapsed="false">
      <c r="A29" s="10" t="s">
        <v>452</v>
      </c>
      <c r="B29" s="34" t="n">
        <v>147</v>
      </c>
      <c r="C29" s="10" t="s">
        <v>7</v>
      </c>
      <c r="D29" s="10"/>
    </row>
    <row r="30" customFormat="false" ht="15" hidden="false" customHeight="true" outlineLevel="0" collapsed="false">
      <c r="A30" s="6" t="s">
        <v>453</v>
      </c>
      <c r="B30" s="35" t="n">
        <v>172</v>
      </c>
      <c r="C30" s="6" t="s">
        <v>7</v>
      </c>
      <c r="D30" s="6"/>
    </row>
    <row r="31" customFormat="false" ht="15" hidden="false" customHeight="true" outlineLevel="0" collapsed="false">
      <c r="A31" s="10" t="s">
        <v>442</v>
      </c>
      <c r="B31" s="34" t="n">
        <v>85.65</v>
      </c>
      <c r="C31" s="10" t="s">
        <v>14</v>
      </c>
      <c r="D31" s="10"/>
    </row>
    <row r="32" customFormat="false" ht="15" hidden="false" customHeight="true" outlineLevel="0" collapsed="false">
      <c r="A32" s="6" t="s">
        <v>384</v>
      </c>
      <c r="B32" s="35" t="n">
        <v>156.77</v>
      </c>
      <c r="C32" s="6" t="s">
        <v>14</v>
      </c>
      <c r="D32" s="6"/>
    </row>
    <row r="33" customFormat="false" ht="15" hidden="false" customHeight="true" outlineLevel="0" collapsed="false">
      <c r="A33" s="10" t="s">
        <v>122</v>
      </c>
      <c r="B33" s="34" t="n">
        <v>15.56</v>
      </c>
      <c r="C33" s="10" t="s">
        <v>14</v>
      </c>
      <c r="D33" s="10"/>
    </row>
    <row r="34" customFormat="false" ht="15" hidden="false" customHeight="true" outlineLevel="0" collapsed="false">
      <c r="A34" s="6"/>
      <c r="B34" s="35"/>
      <c r="C34" s="6"/>
      <c r="D34" s="6"/>
    </row>
    <row r="35" customFormat="false" ht="15" hidden="false" customHeight="true" outlineLevel="0" collapsed="false">
      <c r="A35" s="10"/>
      <c r="B35" s="34"/>
      <c r="C35" s="10"/>
      <c r="D35" s="10"/>
    </row>
    <row r="36" customFormat="false" ht="15" hidden="false" customHeight="true" outlineLevel="0" collapsed="false">
      <c r="A36" s="6"/>
      <c r="B36" s="35"/>
      <c r="C36" s="6"/>
      <c r="D36" s="6"/>
    </row>
    <row r="37" customFormat="false" ht="15" hidden="false" customHeight="true" outlineLevel="0" collapsed="false">
      <c r="A37" s="10"/>
      <c r="B37" s="34"/>
      <c r="C37" s="10"/>
      <c r="D37" s="10"/>
    </row>
    <row r="38" customFormat="false" ht="15" hidden="false" customHeight="true" outlineLevel="0" collapsed="false">
      <c r="A38" s="6"/>
      <c r="B38" s="35"/>
      <c r="C38" s="6"/>
      <c r="D38" s="6"/>
    </row>
    <row r="39" customFormat="false" ht="15" hidden="false" customHeight="true" outlineLevel="0" collapsed="false">
      <c r="A39" s="18" t="s">
        <v>38</v>
      </c>
      <c r="B39" s="36" t="n">
        <f aca="false">SUM(B11:B38)</f>
        <v>3889.19</v>
      </c>
      <c r="C39" s="18"/>
      <c r="D39" s="18"/>
    </row>
    <row r="40" customFormat="false" ht="6" hidden="false" customHeight="true" outlineLevel="0" collapsed="false"/>
    <row r="41" customFormat="false" ht="15" hidden="false" customHeight="true" outlineLevel="0" collapsed="false">
      <c r="A41" s="20" t="s">
        <v>39</v>
      </c>
      <c r="B41" s="20"/>
      <c r="C41" s="20"/>
      <c r="D41" s="20"/>
    </row>
    <row r="42" customFormat="false" ht="15" hidden="false" customHeight="true" outlineLevel="0" collapsed="false">
      <c r="A42" s="21" t="s">
        <v>40</v>
      </c>
      <c r="B42" s="37" t="n">
        <f aca="false">B7</f>
        <v>0</v>
      </c>
      <c r="C42" s="23"/>
      <c r="D42" s="23"/>
    </row>
    <row r="43" customFormat="false" ht="15" hidden="false" customHeight="true" outlineLevel="0" collapsed="false">
      <c r="A43" s="24" t="s">
        <v>41</v>
      </c>
      <c r="B43" s="38" t="n">
        <f aca="false">B39</f>
        <v>3889.19</v>
      </c>
      <c r="C43" s="26"/>
      <c r="D43" s="26"/>
    </row>
    <row r="44" customFormat="false" ht="15" hidden="false" customHeight="true" outlineLevel="0" collapsed="false">
      <c r="A44" s="27" t="s">
        <v>42</v>
      </c>
      <c r="B44" s="39" t="n">
        <f aca="false">B42-B43</f>
        <v>-3889.19</v>
      </c>
      <c r="C44" s="29"/>
      <c r="D44" s="29"/>
    </row>
  </sheetData>
  <mergeCells count="7">
    <mergeCell ref="A1:D1"/>
    <mergeCell ref="A3:D3"/>
    <mergeCell ref="A9:D9"/>
    <mergeCell ref="A41:D41"/>
    <mergeCell ref="C42:D42"/>
    <mergeCell ref="C43:D43"/>
    <mergeCell ref="C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454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455</v>
      </c>
      <c r="B11" s="34" t="n">
        <v>266.7</v>
      </c>
      <c r="C11" s="10" t="s">
        <v>7</v>
      </c>
      <c r="D11" s="10"/>
    </row>
    <row r="12" customFormat="false" ht="15" hidden="false" customHeight="true" outlineLevel="0" collapsed="false">
      <c r="A12" s="6" t="s">
        <v>456</v>
      </c>
      <c r="B12" s="35" t="n">
        <v>208</v>
      </c>
      <c r="C12" s="6" t="s">
        <v>14</v>
      </c>
      <c r="D12" s="6"/>
    </row>
    <row r="13" customFormat="false" ht="15" hidden="false" customHeight="true" outlineLevel="0" collapsed="false">
      <c r="A13" s="10" t="s">
        <v>457</v>
      </c>
      <c r="B13" s="34" t="n">
        <v>47</v>
      </c>
      <c r="C13" s="10" t="s">
        <v>14</v>
      </c>
      <c r="D13" s="10"/>
    </row>
    <row r="14" customFormat="false" ht="15" hidden="false" customHeight="true" outlineLevel="0" collapsed="false">
      <c r="A14" s="6" t="s">
        <v>458</v>
      </c>
      <c r="B14" s="35" t="n">
        <v>137.6</v>
      </c>
      <c r="C14" s="6" t="s">
        <v>7</v>
      </c>
      <c r="D14" s="6"/>
    </row>
    <row r="15" customFormat="false" ht="15" hidden="false" customHeight="true" outlineLevel="0" collapsed="false">
      <c r="A15" s="10" t="s">
        <v>459</v>
      </c>
      <c r="B15" s="34" t="n">
        <v>128</v>
      </c>
      <c r="C15" s="10" t="s">
        <v>7</v>
      </c>
      <c r="D15" s="10"/>
    </row>
    <row r="16" customFormat="false" ht="15" hidden="false" customHeight="true" outlineLevel="0" collapsed="false">
      <c r="A16" s="6" t="s">
        <v>170</v>
      </c>
      <c r="B16" s="35" t="n">
        <v>300.8</v>
      </c>
      <c r="C16" s="6" t="s">
        <v>14</v>
      </c>
      <c r="D16" s="6"/>
    </row>
    <row r="17" customFormat="false" ht="15" hidden="false" customHeight="true" outlineLevel="0" collapsed="false">
      <c r="A17" s="10" t="s">
        <v>460</v>
      </c>
      <c r="B17" s="34" t="n">
        <v>337.17</v>
      </c>
      <c r="C17" s="10" t="s">
        <v>14</v>
      </c>
      <c r="D17" s="10"/>
    </row>
    <row r="18" customFormat="false" ht="15" hidden="false" customHeight="true" outlineLevel="0" collapsed="false">
      <c r="A18" s="6" t="s">
        <v>104</v>
      </c>
      <c r="B18" s="35" t="n">
        <v>86.11</v>
      </c>
      <c r="C18" s="6" t="s">
        <v>7</v>
      </c>
      <c r="D18" s="6"/>
    </row>
    <row r="19" customFormat="false" ht="15" hidden="false" customHeight="true" outlineLevel="0" collapsed="false">
      <c r="A19" s="10" t="s">
        <v>274</v>
      </c>
      <c r="B19" s="34" t="n">
        <v>887</v>
      </c>
      <c r="C19" s="10" t="s">
        <v>14</v>
      </c>
      <c r="D19" s="10"/>
    </row>
    <row r="20" customFormat="false" ht="15" hidden="false" customHeight="true" outlineLevel="0" collapsed="false">
      <c r="A20" s="6" t="s">
        <v>17</v>
      </c>
      <c r="B20" s="35" t="n">
        <v>36</v>
      </c>
      <c r="C20" s="6" t="s">
        <v>14</v>
      </c>
      <c r="D20" s="6"/>
    </row>
    <row r="21" customFormat="false" ht="15" hidden="false" customHeight="true" outlineLevel="0" collapsed="false">
      <c r="A21" s="10" t="s">
        <v>105</v>
      </c>
      <c r="B21" s="34" t="n">
        <v>140</v>
      </c>
      <c r="C21" s="10" t="s">
        <v>10</v>
      </c>
      <c r="D21" s="10"/>
    </row>
    <row r="22" customFormat="false" ht="15" hidden="false" customHeight="true" outlineLevel="0" collapsed="false">
      <c r="A22" s="6" t="s">
        <v>33</v>
      </c>
      <c r="B22" s="35" t="n">
        <v>144</v>
      </c>
      <c r="C22" s="6" t="s">
        <v>14</v>
      </c>
      <c r="D22" s="6"/>
    </row>
    <row r="23" customFormat="false" ht="15" hidden="false" customHeight="true" outlineLevel="0" collapsed="false">
      <c r="A23" s="10" t="s">
        <v>31</v>
      </c>
      <c r="B23" s="34" t="n">
        <v>100</v>
      </c>
      <c r="C23" s="10" t="s">
        <v>14</v>
      </c>
      <c r="D23" s="10"/>
    </row>
    <row r="24" customFormat="false" ht="15" hidden="false" customHeight="true" outlineLevel="0" collapsed="false">
      <c r="A24" s="6" t="s">
        <v>151</v>
      </c>
      <c r="B24" s="35" t="n">
        <v>29.99</v>
      </c>
      <c r="C24" s="6" t="s">
        <v>10</v>
      </c>
      <c r="D24" s="6"/>
    </row>
    <row r="25" customFormat="false" ht="15" hidden="false" customHeight="true" outlineLevel="0" collapsed="false">
      <c r="A25" s="10" t="s">
        <v>172</v>
      </c>
      <c r="B25" s="34" t="n">
        <v>66</v>
      </c>
      <c r="C25" s="10" t="s">
        <v>14</v>
      </c>
      <c r="D25" s="10"/>
    </row>
    <row r="26" customFormat="false" ht="15" hidden="false" customHeight="true" outlineLevel="0" collapsed="false">
      <c r="A26" s="6" t="s">
        <v>150</v>
      </c>
      <c r="B26" s="35" t="n">
        <v>17</v>
      </c>
      <c r="C26" s="6" t="s">
        <v>7</v>
      </c>
      <c r="D26" s="6"/>
    </row>
    <row r="27" customFormat="false" ht="15" hidden="false" customHeight="true" outlineLevel="0" collapsed="false">
      <c r="A27" s="10" t="s">
        <v>67</v>
      </c>
      <c r="B27" s="34" t="n">
        <v>13</v>
      </c>
      <c r="C27" s="10" t="s">
        <v>14</v>
      </c>
      <c r="D27" s="10"/>
    </row>
    <row r="28" customFormat="false" ht="15" hidden="false" customHeight="true" outlineLevel="0" collapsed="false">
      <c r="A28" s="6" t="s">
        <v>442</v>
      </c>
      <c r="B28" s="35" t="n">
        <v>85</v>
      </c>
      <c r="C28" s="6" t="s">
        <v>14</v>
      </c>
      <c r="D28" s="6"/>
    </row>
    <row r="29" customFormat="false" ht="15" hidden="false" customHeight="true" outlineLevel="0" collapsed="false">
      <c r="A29" s="10" t="s">
        <v>461</v>
      </c>
      <c r="B29" s="34" t="n">
        <v>574</v>
      </c>
      <c r="C29" s="10" t="s">
        <v>14</v>
      </c>
      <c r="D29" s="10"/>
    </row>
    <row r="30" customFormat="false" ht="15" hidden="false" customHeight="true" outlineLevel="0" collapsed="false">
      <c r="A30" s="6"/>
      <c r="B30" s="35"/>
      <c r="C30" s="6"/>
      <c r="D30" s="6"/>
    </row>
    <row r="31" customFormat="false" ht="15" hidden="false" customHeight="true" outlineLevel="0" collapsed="false">
      <c r="A31" s="10"/>
      <c r="B31" s="34"/>
      <c r="C31" s="10"/>
      <c r="D31" s="10"/>
    </row>
    <row r="32" customFormat="false" ht="15" hidden="false" customHeight="true" outlineLevel="0" collapsed="false">
      <c r="A32" s="6"/>
      <c r="B32" s="35"/>
      <c r="C32" s="6"/>
      <c r="D32" s="6"/>
    </row>
    <row r="33" customFormat="false" ht="15" hidden="false" customHeight="true" outlineLevel="0" collapsed="false">
      <c r="A33" s="10"/>
      <c r="B33" s="34"/>
      <c r="C33" s="10"/>
      <c r="D33" s="10"/>
    </row>
    <row r="34" customFormat="false" ht="15" hidden="false" customHeight="true" outlineLevel="0" collapsed="false">
      <c r="A34" s="6"/>
      <c r="B34" s="35"/>
      <c r="C34" s="6"/>
      <c r="D34" s="6"/>
    </row>
    <row r="35" customFormat="false" ht="15" hidden="false" customHeight="true" outlineLevel="0" collapsed="false">
      <c r="A35" s="18" t="s">
        <v>38</v>
      </c>
      <c r="B35" s="36" t="n">
        <f aca="false">SUM(B11:B34)</f>
        <v>3603.37</v>
      </c>
      <c r="C35" s="18"/>
      <c r="D35" s="18"/>
    </row>
    <row r="36" customFormat="false" ht="6" hidden="false" customHeight="true" outlineLevel="0" collapsed="false"/>
    <row r="37" customFormat="false" ht="15" hidden="false" customHeight="true" outlineLevel="0" collapsed="false">
      <c r="A37" s="20" t="s">
        <v>39</v>
      </c>
      <c r="B37" s="20"/>
      <c r="C37" s="20"/>
      <c r="D37" s="20"/>
    </row>
    <row r="38" customFormat="false" ht="15" hidden="false" customHeight="true" outlineLevel="0" collapsed="false">
      <c r="A38" s="21" t="s">
        <v>40</v>
      </c>
      <c r="B38" s="37" t="n">
        <f aca="false">B7</f>
        <v>0</v>
      </c>
      <c r="C38" s="23"/>
      <c r="D38" s="23"/>
    </row>
    <row r="39" customFormat="false" ht="15" hidden="false" customHeight="true" outlineLevel="0" collapsed="false">
      <c r="A39" s="24" t="s">
        <v>41</v>
      </c>
      <c r="B39" s="38" t="n">
        <f aca="false">B35</f>
        <v>3603.37</v>
      </c>
      <c r="C39" s="26"/>
      <c r="D39" s="26"/>
    </row>
    <row r="40" customFormat="false" ht="15" hidden="false" customHeight="true" outlineLevel="0" collapsed="false">
      <c r="A40" s="27" t="s">
        <v>42</v>
      </c>
      <c r="B40" s="39" t="n">
        <f aca="false">B38-B39</f>
        <v>-3603.37</v>
      </c>
      <c r="C40" s="29"/>
      <c r="D40" s="29"/>
    </row>
  </sheetData>
  <mergeCells count="7">
    <mergeCell ref="A1:D1"/>
    <mergeCell ref="A3:D3"/>
    <mergeCell ref="A9:D9"/>
    <mergeCell ref="A37:D37"/>
    <mergeCell ref="C38:D38"/>
    <mergeCell ref="C39:D39"/>
    <mergeCell ref="C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462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463</v>
      </c>
      <c r="B11" s="34" t="n">
        <v>208</v>
      </c>
      <c r="C11" s="10" t="s">
        <v>14</v>
      </c>
      <c r="D11" s="10"/>
    </row>
    <row r="12" customFormat="false" ht="15" hidden="false" customHeight="true" outlineLevel="0" collapsed="false">
      <c r="A12" s="6" t="s">
        <v>464</v>
      </c>
      <c r="B12" s="35" t="n">
        <v>266.7</v>
      </c>
      <c r="C12" s="6" t="s">
        <v>7</v>
      </c>
      <c r="D12" s="6"/>
    </row>
    <row r="13" customFormat="false" ht="15" hidden="false" customHeight="true" outlineLevel="0" collapsed="false">
      <c r="A13" s="10" t="s">
        <v>465</v>
      </c>
      <c r="B13" s="34" t="n">
        <v>137.6</v>
      </c>
      <c r="C13" s="10" t="s">
        <v>7</v>
      </c>
      <c r="D13" s="10"/>
    </row>
    <row r="14" customFormat="false" ht="15" hidden="false" customHeight="true" outlineLevel="0" collapsed="false">
      <c r="A14" s="6" t="s">
        <v>466</v>
      </c>
      <c r="B14" s="35" t="n">
        <v>128</v>
      </c>
      <c r="C14" s="6" t="s">
        <v>7</v>
      </c>
      <c r="D14" s="6"/>
    </row>
    <row r="15" customFormat="false" ht="15" hidden="false" customHeight="true" outlineLevel="0" collapsed="false">
      <c r="A15" s="10" t="s">
        <v>170</v>
      </c>
      <c r="B15" s="34" t="n">
        <v>300</v>
      </c>
      <c r="C15" s="10" t="s">
        <v>14</v>
      </c>
      <c r="D15" s="10"/>
    </row>
    <row r="16" customFormat="false" ht="15" hidden="false" customHeight="true" outlineLevel="0" collapsed="false">
      <c r="A16" s="6" t="s">
        <v>467</v>
      </c>
      <c r="B16" s="35" t="n">
        <v>337.17</v>
      </c>
      <c r="C16" s="6" t="s">
        <v>14</v>
      </c>
      <c r="D16" s="6"/>
    </row>
    <row r="17" customFormat="false" ht="15" hidden="false" customHeight="true" outlineLevel="0" collapsed="false">
      <c r="A17" s="10" t="s">
        <v>274</v>
      </c>
      <c r="B17" s="34" t="n">
        <v>887</v>
      </c>
      <c r="C17" s="10" t="s">
        <v>14</v>
      </c>
      <c r="D17" s="10"/>
    </row>
    <row r="18" customFormat="false" ht="15" hidden="false" customHeight="true" outlineLevel="0" collapsed="false">
      <c r="A18" s="6" t="s">
        <v>17</v>
      </c>
      <c r="B18" s="35" t="n">
        <v>36</v>
      </c>
      <c r="C18" s="6" t="s">
        <v>14</v>
      </c>
      <c r="D18" s="6"/>
    </row>
    <row r="19" customFormat="false" ht="15" hidden="false" customHeight="true" outlineLevel="0" collapsed="false">
      <c r="A19" s="10" t="s">
        <v>104</v>
      </c>
      <c r="B19" s="34" t="n">
        <v>136.47</v>
      </c>
      <c r="C19" s="10" t="s">
        <v>7</v>
      </c>
      <c r="D19" s="10"/>
    </row>
    <row r="20" customFormat="false" ht="15" hidden="false" customHeight="true" outlineLevel="0" collapsed="false">
      <c r="A20" s="6" t="s">
        <v>33</v>
      </c>
      <c r="B20" s="35" t="n">
        <v>175</v>
      </c>
      <c r="C20" s="6" t="s">
        <v>14</v>
      </c>
      <c r="D20" s="6"/>
    </row>
    <row r="21" customFormat="false" ht="15" hidden="false" customHeight="true" outlineLevel="0" collapsed="false">
      <c r="A21" s="10" t="s">
        <v>31</v>
      </c>
      <c r="B21" s="34" t="n">
        <v>106</v>
      </c>
      <c r="C21" s="10" t="s">
        <v>14</v>
      </c>
      <c r="D21" s="10"/>
    </row>
    <row r="22" customFormat="false" ht="15" hidden="false" customHeight="true" outlineLevel="0" collapsed="false">
      <c r="A22" s="6" t="s">
        <v>151</v>
      </c>
      <c r="B22" s="35" t="n">
        <v>29.99</v>
      </c>
      <c r="C22" s="6" t="s">
        <v>10</v>
      </c>
      <c r="D22" s="6"/>
    </row>
    <row r="23" customFormat="false" ht="15" hidden="false" customHeight="true" outlineLevel="0" collapsed="false">
      <c r="A23" s="10" t="s">
        <v>172</v>
      </c>
      <c r="B23" s="34" t="n">
        <v>66</v>
      </c>
      <c r="C23" s="10" t="s">
        <v>14</v>
      </c>
      <c r="D23" s="10"/>
    </row>
    <row r="24" customFormat="false" ht="15" hidden="false" customHeight="true" outlineLevel="0" collapsed="false">
      <c r="A24" s="6" t="s">
        <v>150</v>
      </c>
      <c r="B24" s="35" t="n">
        <v>17</v>
      </c>
      <c r="C24" s="6" t="s">
        <v>7</v>
      </c>
      <c r="D24" s="6"/>
    </row>
    <row r="25" customFormat="false" ht="15" hidden="false" customHeight="true" outlineLevel="0" collapsed="false">
      <c r="A25" s="10" t="s">
        <v>67</v>
      </c>
      <c r="B25" s="34" t="n">
        <v>13.99</v>
      </c>
      <c r="C25" s="10" t="s">
        <v>14</v>
      </c>
      <c r="D25" s="10"/>
    </row>
    <row r="26" customFormat="false" ht="15" hidden="false" customHeight="true" outlineLevel="0" collapsed="false">
      <c r="A26" s="6" t="s">
        <v>442</v>
      </c>
      <c r="B26" s="35" t="n">
        <v>85</v>
      </c>
      <c r="C26" s="6" t="s">
        <v>14</v>
      </c>
      <c r="D26" s="6"/>
    </row>
    <row r="27" customFormat="false" ht="15" hidden="false" customHeight="true" outlineLevel="0" collapsed="false">
      <c r="A27" s="10" t="s">
        <v>468</v>
      </c>
      <c r="B27" s="34" t="n">
        <v>117</v>
      </c>
      <c r="C27" s="10" t="s">
        <v>14</v>
      </c>
      <c r="D27" s="10"/>
    </row>
    <row r="28" customFormat="false" ht="15" hidden="false" customHeight="true" outlineLevel="0" collapsed="false">
      <c r="A28" s="6" t="s">
        <v>105</v>
      </c>
      <c r="B28" s="35" t="n">
        <v>144.98</v>
      </c>
      <c r="C28" s="6" t="s">
        <v>10</v>
      </c>
      <c r="D28" s="6"/>
    </row>
    <row r="29" customFormat="false" ht="15" hidden="false" customHeight="true" outlineLevel="0" collapsed="false">
      <c r="A29" s="10" t="s">
        <v>469</v>
      </c>
      <c r="B29" s="34" t="n">
        <v>60.8</v>
      </c>
      <c r="C29" s="10" t="s">
        <v>14</v>
      </c>
      <c r="D29" s="10" t="s">
        <v>470</v>
      </c>
    </row>
    <row r="30" customFormat="false" ht="15" hidden="false" customHeight="true" outlineLevel="0" collapsed="false">
      <c r="A30" s="6" t="s">
        <v>461</v>
      </c>
      <c r="B30" s="35" t="n">
        <v>8.53</v>
      </c>
      <c r="C30" s="6" t="s">
        <v>14</v>
      </c>
      <c r="D30" s="6"/>
    </row>
    <row r="31" customFormat="false" ht="15" hidden="false" customHeight="true" outlineLevel="0" collapsed="false">
      <c r="A31" s="10" t="s">
        <v>122</v>
      </c>
      <c r="B31" s="34" t="n">
        <v>10</v>
      </c>
      <c r="C31" s="10" t="s">
        <v>14</v>
      </c>
      <c r="D31" s="10"/>
    </row>
    <row r="32" customFormat="false" ht="15" hidden="false" customHeight="true" outlineLevel="0" collapsed="false">
      <c r="A32" s="6" t="s">
        <v>471</v>
      </c>
      <c r="B32" s="35" t="n">
        <v>194.5</v>
      </c>
      <c r="C32" s="6" t="s">
        <v>14</v>
      </c>
      <c r="D32" s="6"/>
    </row>
    <row r="33" customFormat="false" ht="15" hidden="false" customHeight="true" outlineLevel="0" collapsed="false">
      <c r="A33" s="10" t="s">
        <v>472</v>
      </c>
      <c r="B33" s="34" t="n">
        <v>150</v>
      </c>
      <c r="C33" s="10" t="s">
        <v>14</v>
      </c>
      <c r="D33" s="10"/>
    </row>
    <row r="34" customFormat="false" ht="15" hidden="false" customHeight="true" outlineLevel="0" collapsed="false">
      <c r="A34" s="6" t="s">
        <v>384</v>
      </c>
      <c r="B34" s="35" t="n">
        <v>50</v>
      </c>
      <c r="C34" s="6" t="s">
        <v>14</v>
      </c>
      <c r="D34" s="6"/>
    </row>
    <row r="35" customFormat="false" ht="15" hidden="false" customHeight="true" outlineLevel="0" collapsed="false">
      <c r="A35" s="10"/>
      <c r="B35" s="34"/>
      <c r="C35" s="10"/>
      <c r="D35" s="10"/>
    </row>
    <row r="36" customFormat="false" ht="15" hidden="false" customHeight="true" outlineLevel="0" collapsed="false">
      <c r="A36" s="6"/>
      <c r="B36" s="35"/>
      <c r="C36" s="6"/>
      <c r="D36" s="6"/>
    </row>
    <row r="37" customFormat="false" ht="15" hidden="false" customHeight="true" outlineLevel="0" collapsed="false">
      <c r="A37" s="10"/>
      <c r="B37" s="34"/>
      <c r="C37" s="10"/>
      <c r="D37" s="10"/>
    </row>
    <row r="38" customFormat="false" ht="15" hidden="false" customHeight="true" outlineLevel="0" collapsed="false">
      <c r="A38" s="6"/>
      <c r="B38" s="35"/>
      <c r="C38" s="6"/>
      <c r="D38" s="6"/>
    </row>
    <row r="39" customFormat="false" ht="15" hidden="false" customHeight="true" outlineLevel="0" collapsed="false">
      <c r="A39" s="10"/>
      <c r="B39" s="34"/>
      <c r="C39" s="10"/>
      <c r="D39" s="10"/>
    </row>
    <row r="40" customFormat="false" ht="15" hidden="false" customHeight="true" outlineLevel="0" collapsed="false">
      <c r="A40" s="18" t="s">
        <v>38</v>
      </c>
      <c r="B40" s="36" t="n">
        <f aca="false">SUM(B11:B39)</f>
        <v>3665.73</v>
      </c>
      <c r="C40" s="18"/>
      <c r="D40" s="18"/>
    </row>
    <row r="41" customFormat="false" ht="6" hidden="false" customHeight="true" outlineLevel="0" collapsed="false"/>
    <row r="42" customFormat="false" ht="15" hidden="false" customHeight="true" outlineLevel="0" collapsed="false">
      <c r="A42" s="20" t="s">
        <v>39</v>
      </c>
      <c r="B42" s="20"/>
      <c r="C42" s="20"/>
      <c r="D42" s="20"/>
    </row>
    <row r="43" customFormat="false" ht="15" hidden="false" customHeight="true" outlineLevel="0" collapsed="false">
      <c r="A43" s="21" t="s">
        <v>40</v>
      </c>
      <c r="B43" s="37" t="n">
        <f aca="false">B7</f>
        <v>0</v>
      </c>
      <c r="C43" s="23"/>
      <c r="D43" s="23"/>
    </row>
    <row r="44" customFormat="false" ht="15" hidden="false" customHeight="true" outlineLevel="0" collapsed="false">
      <c r="A44" s="24" t="s">
        <v>41</v>
      </c>
      <c r="B44" s="38" t="n">
        <f aca="false">B40</f>
        <v>3665.73</v>
      </c>
      <c r="C44" s="26"/>
      <c r="D44" s="26"/>
    </row>
    <row r="45" customFormat="false" ht="15" hidden="false" customHeight="true" outlineLevel="0" collapsed="false">
      <c r="A45" s="27" t="s">
        <v>42</v>
      </c>
      <c r="B45" s="39" t="n">
        <f aca="false">B43-B44</f>
        <v>-3665.73</v>
      </c>
      <c r="C45" s="29"/>
      <c r="D45" s="29"/>
    </row>
  </sheetData>
  <mergeCells count="7">
    <mergeCell ref="A1:D1"/>
    <mergeCell ref="A3:D3"/>
    <mergeCell ref="A9:D9"/>
    <mergeCell ref="A42:D42"/>
    <mergeCell ref="C43:D43"/>
    <mergeCell ref="C44:D44"/>
    <mergeCell ref="C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473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474</v>
      </c>
      <c r="B11" s="34" t="n">
        <v>292</v>
      </c>
      <c r="C11" s="10" t="s">
        <v>14</v>
      </c>
      <c r="D11" s="10"/>
    </row>
    <row r="12" customFormat="false" ht="15" hidden="false" customHeight="true" outlineLevel="0" collapsed="false">
      <c r="A12" s="6" t="s">
        <v>475</v>
      </c>
      <c r="B12" s="35" t="n">
        <v>208</v>
      </c>
      <c r="C12" s="6" t="s">
        <v>14</v>
      </c>
      <c r="D12" s="6"/>
    </row>
    <row r="13" customFormat="false" ht="15" hidden="false" customHeight="true" outlineLevel="0" collapsed="false">
      <c r="A13" s="10" t="s">
        <v>476</v>
      </c>
      <c r="B13" s="34" t="n">
        <v>266</v>
      </c>
      <c r="C13" s="10" t="s">
        <v>7</v>
      </c>
      <c r="D13" s="10"/>
    </row>
    <row r="14" customFormat="false" ht="15" hidden="false" customHeight="true" outlineLevel="0" collapsed="false">
      <c r="A14" s="6" t="s">
        <v>170</v>
      </c>
      <c r="B14" s="35" t="n">
        <v>250</v>
      </c>
      <c r="C14" s="6" t="s">
        <v>14</v>
      </c>
      <c r="D14" s="6"/>
    </row>
    <row r="15" customFormat="false" ht="15" hidden="false" customHeight="true" outlineLevel="0" collapsed="false">
      <c r="A15" s="10" t="s">
        <v>477</v>
      </c>
      <c r="B15" s="34" t="n">
        <v>337.17</v>
      </c>
      <c r="C15" s="10" t="s">
        <v>14</v>
      </c>
      <c r="D15" s="10"/>
    </row>
    <row r="16" customFormat="false" ht="15" hidden="false" customHeight="true" outlineLevel="0" collapsed="false">
      <c r="A16" s="6" t="s">
        <v>274</v>
      </c>
      <c r="B16" s="35" t="n">
        <v>887</v>
      </c>
      <c r="C16" s="6" t="s">
        <v>14</v>
      </c>
      <c r="D16" s="6"/>
    </row>
    <row r="17" customFormat="false" ht="15" hidden="false" customHeight="true" outlineLevel="0" collapsed="false">
      <c r="A17" s="10" t="s">
        <v>461</v>
      </c>
      <c r="B17" s="34" t="n">
        <v>826</v>
      </c>
      <c r="C17" s="10" t="s">
        <v>14</v>
      </c>
      <c r="D17" s="10"/>
    </row>
    <row r="18" customFormat="false" ht="15" hidden="false" customHeight="true" outlineLevel="0" collapsed="false">
      <c r="A18" s="6" t="s">
        <v>33</v>
      </c>
      <c r="B18" s="35" t="n">
        <v>85</v>
      </c>
      <c r="C18" s="6" t="s">
        <v>14</v>
      </c>
      <c r="D18" s="6"/>
    </row>
    <row r="19" customFormat="false" ht="15" hidden="false" customHeight="true" outlineLevel="0" collapsed="false">
      <c r="A19" s="10" t="s">
        <v>478</v>
      </c>
      <c r="B19" s="34" t="n">
        <v>100</v>
      </c>
      <c r="C19" s="10" t="s">
        <v>14</v>
      </c>
      <c r="D19" s="10"/>
    </row>
    <row r="20" customFormat="false" ht="15" hidden="false" customHeight="true" outlineLevel="0" collapsed="false">
      <c r="A20" s="6" t="s">
        <v>151</v>
      </c>
      <c r="B20" s="35" t="n">
        <v>30</v>
      </c>
      <c r="C20" s="6" t="s">
        <v>10</v>
      </c>
      <c r="D20" s="6"/>
    </row>
    <row r="21" customFormat="false" ht="15" hidden="false" customHeight="true" outlineLevel="0" collapsed="false">
      <c r="A21" s="10" t="s">
        <v>150</v>
      </c>
      <c r="B21" s="34" t="n">
        <v>17</v>
      </c>
      <c r="C21" s="10" t="s">
        <v>7</v>
      </c>
      <c r="D21" s="10"/>
    </row>
    <row r="22" customFormat="false" ht="15" hidden="false" customHeight="true" outlineLevel="0" collapsed="false">
      <c r="A22" s="6" t="s">
        <v>16</v>
      </c>
      <c r="B22" s="35" t="n">
        <v>85</v>
      </c>
      <c r="C22" s="6" t="s">
        <v>14</v>
      </c>
      <c r="D22" s="6"/>
    </row>
    <row r="23" customFormat="false" ht="15" hidden="false" customHeight="true" outlineLevel="0" collapsed="false">
      <c r="A23" s="10" t="s">
        <v>479</v>
      </c>
      <c r="B23" s="34" t="n">
        <v>116</v>
      </c>
      <c r="C23" s="10" t="s">
        <v>14</v>
      </c>
      <c r="D23" s="10"/>
    </row>
    <row r="24" customFormat="false" ht="15" hidden="false" customHeight="true" outlineLevel="0" collapsed="false">
      <c r="A24" s="6" t="s">
        <v>67</v>
      </c>
      <c r="B24" s="35" t="n">
        <v>13</v>
      </c>
      <c r="C24" s="6" t="s">
        <v>14</v>
      </c>
      <c r="D24" s="6"/>
    </row>
    <row r="25" customFormat="false" ht="15" hidden="false" customHeight="true" outlineLevel="0" collapsed="false">
      <c r="A25" s="10" t="s">
        <v>122</v>
      </c>
      <c r="B25" s="34" t="n">
        <v>2.73</v>
      </c>
      <c r="C25" s="10" t="s">
        <v>14</v>
      </c>
      <c r="D25" s="10"/>
    </row>
    <row r="26" customFormat="false" ht="15" hidden="false" customHeight="true" outlineLevel="0" collapsed="false">
      <c r="A26" s="6" t="s">
        <v>104</v>
      </c>
      <c r="B26" s="35" t="n">
        <v>139.89</v>
      </c>
      <c r="C26" s="6" t="s">
        <v>7</v>
      </c>
      <c r="D26" s="6"/>
    </row>
    <row r="27" customFormat="false" ht="15" hidden="false" customHeight="true" outlineLevel="0" collapsed="false">
      <c r="A27" s="10" t="s">
        <v>105</v>
      </c>
      <c r="B27" s="34" t="n">
        <v>75.11</v>
      </c>
      <c r="C27" s="10" t="s">
        <v>10</v>
      </c>
      <c r="D27" s="10"/>
    </row>
    <row r="28" customFormat="false" ht="15" hidden="false" customHeight="true" outlineLevel="0" collapsed="false">
      <c r="A28" s="6" t="s">
        <v>384</v>
      </c>
      <c r="B28" s="35" t="n">
        <v>90.68</v>
      </c>
      <c r="C28" s="6" t="s">
        <v>14</v>
      </c>
      <c r="D28" s="6"/>
    </row>
    <row r="29" customFormat="false" ht="15" hidden="false" customHeight="true" outlineLevel="0" collapsed="false">
      <c r="A29" s="10"/>
      <c r="B29" s="34"/>
      <c r="C29" s="10"/>
      <c r="D29" s="10"/>
    </row>
    <row r="30" customFormat="false" ht="15" hidden="false" customHeight="true" outlineLevel="0" collapsed="false">
      <c r="A30" s="6"/>
      <c r="B30" s="35"/>
      <c r="C30" s="6"/>
      <c r="D30" s="6"/>
    </row>
    <row r="31" customFormat="false" ht="15" hidden="false" customHeight="true" outlineLevel="0" collapsed="false">
      <c r="A31" s="10"/>
      <c r="B31" s="34"/>
      <c r="C31" s="10"/>
      <c r="D31" s="10"/>
    </row>
    <row r="32" customFormat="false" ht="15" hidden="false" customHeight="true" outlineLevel="0" collapsed="false">
      <c r="A32" s="6"/>
      <c r="B32" s="35"/>
      <c r="C32" s="6"/>
      <c r="D32" s="6"/>
    </row>
    <row r="33" customFormat="false" ht="15" hidden="false" customHeight="true" outlineLevel="0" collapsed="false">
      <c r="A33" s="10"/>
      <c r="B33" s="34"/>
      <c r="C33" s="10"/>
      <c r="D33" s="10"/>
    </row>
    <row r="34" customFormat="false" ht="15" hidden="false" customHeight="true" outlineLevel="0" collapsed="false">
      <c r="A34" s="18" t="s">
        <v>38</v>
      </c>
      <c r="B34" s="36" t="n">
        <f aca="false">SUM(B11:B33)</f>
        <v>3820.58</v>
      </c>
      <c r="C34" s="18"/>
      <c r="D34" s="18"/>
    </row>
    <row r="35" customFormat="false" ht="6" hidden="false" customHeight="true" outlineLevel="0" collapsed="false"/>
    <row r="36" customFormat="false" ht="15" hidden="false" customHeight="true" outlineLevel="0" collapsed="false">
      <c r="A36" s="20" t="s">
        <v>39</v>
      </c>
      <c r="B36" s="20"/>
      <c r="C36" s="20"/>
      <c r="D36" s="20"/>
    </row>
    <row r="37" customFormat="false" ht="15" hidden="false" customHeight="true" outlineLevel="0" collapsed="false">
      <c r="A37" s="21" t="s">
        <v>40</v>
      </c>
      <c r="B37" s="37" t="n">
        <f aca="false">B7</f>
        <v>0</v>
      </c>
      <c r="C37" s="23"/>
      <c r="D37" s="23"/>
    </row>
    <row r="38" customFormat="false" ht="15" hidden="false" customHeight="true" outlineLevel="0" collapsed="false">
      <c r="A38" s="24" t="s">
        <v>41</v>
      </c>
      <c r="B38" s="38" t="n">
        <f aca="false">B34</f>
        <v>3820.58</v>
      </c>
      <c r="C38" s="26"/>
      <c r="D38" s="26"/>
    </row>
    <row r="39" customFormat="false" ht="15" hidden="false" customHeight="true" outlineLevel="0" collapsed="false">
      <c r="A39" s="27" t="s">
        <v>42</v>
      </c>
      <c r="B39" s="39" t="n">
        <f aca="false">B37-B38</f>
        <v>-3820.58</v>
      </c>
      <c r="C39" s="29"/>
      <c r="D39" s="29"/>
    </row>
  </sheetData>
  <mergeCells count="7">
    <mergeCell ref="A1:D1"/>
    <mergeCell ref="A3:D3"/>
    <mergeCell ref="A9:D9"/>
    <mergeCell ref="A36:D36"/>
    <mergeCell ref="C37:D37"/>
    <mergeCell ref="C38:D38"/>
    <mergeCell ref="C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480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481</v>
      </c>
      <c r="B11" s="34" t="n">
        <v>292</v>
      </c>
      <c r="C11" s="10" t="s">
        <v>14</v>
      </c>
      <c r="D11" s="10"/>
    </row>
    <row r="12" customFormat="false" ht="15" hidden="false" customHeight="true" outlineLevel="0" collapsed="false">
      <c r="A12" s="6" t="s">
        <v>482</v>
      </c>
      <c r="B12" s="35" t="n">
        <v>208</v>
      </c>
      <c r="C12" s="6" t="s">
        <v>14</v>
      </c>
      <c r="D12" s="6"/>
    </row>
    <row r="13" customFormat="false" ht="15" hidden="false" customHeight="true" outlineLevel="0" collapsed="false">
      <c r="A13" s="10" t="s">
        <v>483</v>
      </c>
      <c r="B13" s="34" t="n">
        <v>266</v>
      </c>
      <c r="C13" s="10" t="s">
        <v>7</v>
      </c>
      <c r="D13" s="10"/>
    </row>
    <row r="14" customFormat="false" ht="15" hidden="false" customHeight="true" outlineLevel="0" collapsed="false">
      <c r="A14" s="6" t="s">
        <v>484</v>
      </c>
      <c r="B14" s="35" t="n">
        <v>111</v>
      </c>
      <c r="C14" s="6" t="s">
        <v>14</v>
      </c>
      <c r="D14" s="6"/>
    </row>
    <row r="15" customFormat="false" ht="15" hidden="false" customHeight="true" outlineLevel="0" collapsed="false">
      <c r="A15" s="10" t="s">
        <v>170</v>
      </c>
      <c r="B15" s="34" t="n">
        <v>250</v>
      </c>
      <c r="C15" s="10" t="s">
        <v>14</v>
      </c>
      <c r="D15" s="10"/>
    </row>
    <row r="16" customFormat="false" ht="15" hidden="false" customHeight="true" outlineLevel="0" collapsed="false">
      <c r="A16" s="6" t="s">
        <v>485</v>
      </c>
      <c r="B16" s="35" t="n">
        <v>337.17</v>
      </c>
      <c r="C16" s="6" t="s">
        <v>14</v>
      </c>
      <c r="D16" s="6"/>
    </row>
    <row r="17" customFormat="false" ht="15" hidden="false" customHeight="true" outlineLevel="0" collapsed="false">
      <c r="A17" s="10" t="s">
        <v>274</v>
      </c>
      <c r="B17" s="34" t="n">
        <v>887</v>
      </c>
      <c r="C17" s="10" t="s">
        <v>14</v>
      </c>
      <c r="D17" s="10"/>
    </row>
    <row r="18" customFormat="false" ht="15" hidden="false" customHeight="true" outlineLevel="0" collapsed="false">
      <c r="A18" s="6" t="s">
        <v>33</v>
      </c>
      <c r="B18" s="35" t="n">
        <v>102</v>
      </c>
      <c r="C18" s="6" t="s">
        <v>14</v>
      </c>
      <c r="D18" s="6"/>
    </row>
    <row r="19" customFormat="false" ht="15" hidden="false" customHeight="true" outlineLevel="0" collapsed="false">
      <c r="A19" s="10" t="s">
        <v>478</v>
      </c>
      <c r="B19" s="34" t="n">
        <v>100</v>
      </c>
      <c r="C19" s="10" t="s">
        <v>14</v>
      </c>
      <c r="D19" s="10"/>
    </row>
    <row r="20" customFormat="false" ht="15" hidden="false" customHeight="true" outlineLevel="0" collapsed="false">
      <c r="A20" s="6" t="s">
        <v>151</v>
      </c>
      <c r="B20" s="35" t="n">
        <v>30</v>
      </c>
      <c r="C20" s="6" t="s">
        <v>10</v>
      </c>
      <c r="D20" s="6"/>
    </row>
    <row r="21" customFormat="false" ht="15" hidden="false" customHeight="true" outlineLevel="0" collapsed="false">
      <c r="A21" s="10" t="s">
        <v>150</v>
      </c>
      <c r="B21" s="34" t="n">
        <v>17</v>
      </c>
      <c r="C21" s="10" t="s">
        <v>7</v>
      </c>
      <c r="D21" s="10"/>
    </row>
    <row r="22" customFormat="false" ht="15" hidden="false" customHeight="true" outlineLevel="0" collapsed="false">
      <c r="A22" s="6" t="s">
        <v>16</v>
      </c>
      <c r="B22" s="35" t="n">
        <v>85</v>
      </c>
      <c r="C22" s="6" t="s">
        <v>14</v>
      </c>
      <c r="D22" s="6"/>
    </row>
    <row r="23" customFormat="false" ht="15" hidden="false" customHeight="true" outlineLevel="0" collapsed="false">
      <c r="A23" s="10" t="s">
        <v>318</v>
      </c>
      <c r="B23" s="34" t="n">
        <v>116</v>
      </c>
      <c r="C23" s="10" t="s">
        <v>14</v>
      </c>
      <c r="D23" s="10"/>
    </row>
    <row r="24" customFormat="false" ht="15" hidden="false" customHeight="true" outlineLevel="0" collapsed="false">
      <c r="A24" s="6" t="s">
        <v>67</v>
      </c>
      <c r="B24" s="35" t="n">
        <v>13</v>
      </c>
      <c r="C24" s="6" t="s">
        <v>14</v>
      </c>
      <c r="D24" s="6"/>
    </row>
    <row r="25" customFormat="false" ht="15" hidden="false" customHeight="true" outlineLevel="0" collapsed="false">
      <c r="A25" s="10" t="s">
        <v>104</v>
      </c>
      <c r="B25" s="34" t="n">
        <v>129</v>
      </c>
      <c r="C25" s="10" t="s">
        <v>7</v>
      </c>
      <c r="D25" s="10"/>
    </row>
    <row r="26" customFormat="false" ht="15" hidden="false" customHeight="true" outlineLevel="0" collapsed="false">
      <c r="A26" s="6" t="s">
        <v>105</v>
      </c>
      <c r="B26" s="35" t="n">
        <v>148.56</v>
      </c>
      <c r="C26" s="6" t="s">
        <v>10</v>
      </c>
      <c r="D26" s="6"/>
    </row>
    <row r="27" customFormat="false" ht="15" hidden="false" customHeight="true" outlineLevel="0" collapsed="false">
      <c r="A27" s="10" t="s">
        <v>384</v>
      </c>
      <c r="B27" s="34" t="n">
        <v>294.02</v>
      </c>
      <c r="C27" s="10" t="s">
        <v>14</v>
      </c>
      <c r="D27" s="10"/>
    </row>
    <row r="28" customFormat="false" ht="15" hidden="false" customHeight="true" outlineLevel="0" collapsed="false">
      <c r="A28" s="6" t="s">
        <v>122</v>
      </c>
      <c r="B28" s="35" t="n">
        <v>10.59</v>
      </c>
      <c r="C28" s="6" t="s">
        <v>14</v>
      </c>
      <c r="D28" s="6"/>
    </row>
    <row r="29" customFormat="false" ht="15" hidden="false" customHeight="true" outlineLevel="0" collapsed="false">
      <c r="A29" s="10" t="s">
        <v>486</v>
      </c>
      <c r="B29" s="34" t="n">
        <v>23.63</v>
      </c>
      <c r="C29" s="10" t="s">
        <v>14</v>
      </c>
      <c r="D29" s="10"/>
    </row>
    <row r="30" customFormat="false" ht="15" hidden="false" customHeight="true" outlineLevel="0" collapsed="false">
      <c r="A30" s="6" t="s">
        <v>487</v>
      </c>
      <c r="B30" s="35" t="n">
        <v>84.41</v>
      </c>
      <c r="C30" s="6" t="s">
        <v>14</v>
      </c>
      <c r="D30" s="6"/>
    </row>
    <row r="31" customFormat="false" ht="15" hidden="false" customHeight="true" outlineLevel="0" collapsed="false">
      <c r="A31" s="10" t="s">
        <v>488</v>
      </c>
      <c r="B31" s="34" t="n">
        <v>39.71</v>
      </c>
      <c r="C31" s="10" t="s">
        <v>10</v>
      </c>
      <c r="D31" s="10"/>
    </row>
    <row r="32" customFormat="false" ht="15" hidden="false" customHeight="true" outlineLevel="0" collapsed="false">
      <c r="A32" s="6"/>
      <c r="B32" s="35"/>
      <c r="C32" s="6"/>
      <c r="D32" s="6"/>
    </row>
    <row r="33" customFormat="false" ht="15" hidden="false" customHeight="true" outlineLevel="0" collapsed="false">
      <c r="A33" s="10"/>
      <c r="B33" s="34"/>
      <c r="C33" s="10"/>
      <c r="D33" s="10"/>
    </row>
    <row r="34" customFormat="false" ht="15" hidden="false" customHeight="true" outlineLevel="0" collapsed="false">
      <c r="A34" s="6"/>
      <c r="B34" s="35"/>
      <c r="C34" s="6"/>
      <c r="D34" s="6"/>
    </row>
    <row r="35" customFormat="false" ht="15" hidden="false" customHeight="true" outlineLevel="0" collapsed="false">
      <c r="A35" s="10"/>
      <c r="B35" s="34"/>
      <c r="C35" s="10"/>
      <c r="D35" s="10"/>
    </row>
    <row r="36" customFormat="false" ht="15" hidden="false" customHeight="true" outlineLevel="0" collapsed="false">
      <c r="A36" s="6"/>
      <c r="B36" s="35"/>
      <c r="C36" s="6"/>
      <c r="D36" s="6"/>
    </row>
    <row r="37" customFormat="false" ht="15" hidden="false" customHeight="true" outlineLevel="0" collapsed="false">
      <c r="A37" s="18" t="s">
        <v>38</v>
      </c>
      <c r="B37" s="36" t="n">
        <f aca="false">SUM(B11:B36)</f>
        <v>3544.09</v>
      </c>
      <c r="C37" s="18"/>
      <c r="D37" s="18"/>
    </row>
    <row r="38" customFormat="false" ht="6" hidden="false" customHeight="true" outlineLevel="0" collapsed="false"/>
    <row r="39" customFormat="false" ht="15" hidden="false" customHeight="true" outlineLevel="0" collapsed="false">
      <c r="A39" s="20" t="s">
        <v>39</v>
      </c>
      <c r="B39" s="20"/>
      <c r="C39" s="20"/>
      <c r="D39" s="20"/>
    </row>
    <row r="40" customFormat="false" ht="15" hidden="false" customHeight="true" outlineLevel="0" collapsed="false">
      <c r="A40" s="21" t="s">
        <v>40</v>
      </c>
      <c r="B40" s="37" t="n">
        <f aca="false">B7</f>
        <v>0</v>
      </c>
      <c r="C40" s="23"/>
      <c r="D40" s="23"/>
    </row>
    <row r="41" customFormat="false" ht="15" hidden="false" customHeight="true" outlineLevel="0" collapsed="false">
      <c r="A41" s="24" t="s">
        <v>41</v>
      </c>
      <c r="B41" s="38" t="n">
        <f aca="false">B37</f>
        <v>3544.09</v>
      </c>
      <c r="C41" s="26"/>
      <c r="D41" s="26"/>
    </row>
    <row r="42" customFormat="false" ht="15" hidden="false" customHeight="true" outlineLevel="0" collapsed="false">
      <c r="A42" s="27" t="s">
        <v>42</v>
      </c>
      <c r="B42" s="39" t="n">
        <f aca="false">B40-B41</f>
        <v>-3544.09</v>
      </c>
      <c r="C42" s="29"/>
      <c r="D42" s="29"/>
    </row>
  </sheetData>
  <mergeCells count="7">
    <mergeCell ref="A1:D1"/>
    <mergeCell ref="A3:D3"/>
    <mergeCell ref="A9:D9"/>
    <mergeCell ref="A39:D39"/>
    <mergeCell ref="C40:D40"/>
    <mergeCell ref="C41:D41"/>
    <mergeCell ref="C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489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122</v>
      </c>
      <c r="B11" s="34" t="n">
        <v>47</v>
      </c>
      <c r="C11" s="10" t="s">
        <v>14</v>
      </c>
      <c r="D11" s="10"/>
    </row>
    <row r="12" customFormat="false" ht="15" hidden="false" customHeight="true" outlineLevel="0" collapsed="false">
      <c r="A12" s="6" t="s">
        <v>87</v>
      </c>
      <c r="B12" s="35" t="n">
        <v>49.29</v>
      </c>
      <c r="C12" s="6" t="s">
        <v>10</v>
      </c>
      <c r="D12" s="6"/>
    </row>
    <row r="13" customFormat="false" ht="15" hidden="false" customHeight="true" outlineLevel="0" collapsed="false">
      <c r="A13" s="10" t="s">
        <v>490</v>
      </c>
      <c r="B13" s="34" t="n">
        <v>292</v>
      </c>
      <c r="C13" s="10" t="s">
        <v>14</v>
      </c>
      <c r="D13" s="10" t="s">
        <v>491</v>
      </c>
    </row>
    <row r="14" customFormat="false" ht="15" hidden="false" customHeight="true" outlineLevel="0" collapsed="false">
      <c r="A14" s="6" t="s">
        <v>492</v>
      </c>
      <c r="B14" s="35" t="n">
        <v>266</v>
      </c>
      <c r="C14" s="6" t="s">
        <v>7</v>
      </c>
      <c r="D14" s="6"/>
    </row>
    <row r="15" customFormat="false" ht="15" hidden="false" customHeight="true" outlineLevel="0" collapsed="false">
      <c r="A15" s="10" t="s">
        <v>461</v>
      </c>
      <c r="B15" s="34" t="n">
        <v>1000</v>
      </c>
      <c r="C15" s="10" t="s">
        <v>14</v>
      </c>
      <c r="D15" s="10"/>
    </row>
    <row r="16" customFormat="false" ht="15" hidden="false" customHeight="true" outlineLevel="0" collapsed="false">
      <c r="A16" s="6" t="s">
        <v>493</v>
      </c>
      <c r="B16" s="35" t="n">
        <v>337</v>
      </c>
      <c r="C16" s="6" t="s">
        <v>14</v>
      </c>
      <c r="D16" s="6"/>
    </row>
    <row r="17" customFormat="false" ht="15" hidden="false" customHeight="true" outlineLevel="0" collapsed="false">
      <c r="A17" s="10" t="s">
        <v>274</v>
      </c>
      <c r="B17" s="34" t="n">
        <v>887</v>
      </c>
      <c r="C17" s="10" t="s">
        <v>14</v>
      </c>
      <c r="D17" s="10"/>
    </row>
    <row r="18" customFormat="false" ht="15" hidden="false" customHeight="true" outlineLevel="0" collapsed="false">
      <c r="A18" s="6" t="s">
        <v>17</v>
      </c>
      <c r="B18" s="35" t="n">
        <v>127</v>
      </c>
      <c r="C18" s="6" t="s">
        <v>14</v>
      </c>
      <c r="D18" s="6"/>
    </row>
    <row r="19" customFormat="false" ht="15" hidden="false" customHeight="true" outlineLevel="0" collapsed="false">
      <c r="A19" s="10" t="s">
        <v>33</v>
      </c>
      <c r="B19" s="34" t="n">
        <v>137</v>
      </c>
      <c r="C19" s="10" t="s">
        <v>14</v>
      </c>
      <c r="D19" s="10"/>
    </row>
    <row r="20" customFormat="false" ht="15" hidden="false" customHeight="true" outlineLevel="0" collapsed="false">
      <c r="A20" s="6" t="s">
        <v>31</v>
      </c>
      <c r="B20" s="35" t="n">
        <v>100</v>
      </c>
      <c r="C20" s="6" t="s">
        <v>14</v>
      </c>
      <c r="D20" s="6"/>
    </row>
    <row r="21" customFormat="false" ht="15" hidden="false" customHeight="true" outlineLevel="0" collapsed="false">
      <c r="A21" s="10" t="s">
        <v>151</v>
      </c>
      <c r="B21" s="34" t="n">
        <v>30</v>
      </c>
      <c r="C21" s="10" t="s">
        <v>10</v>
      </c>
      <c r="D21" s="10"/>
    </row>
    <row r="22" customFormat="false" ht="15" hidden="false" customHeight="true" outlineLevel="0" collapsed="false">
      <c r="A22" s="6" t="s">
        <v>150</v>
      </c>
      <c r="B22" s="35" t="n">
        <v>17</v>
      </c>
      <c r="C22" s="6" t="s">
        <v>7</v>
      </c>
      <c r="D22" s="6"/>
    </row>
    <row r="23" customFormat="false" ht="15" hidden="false" customHeight="true" outlineLevel="0" collapsed="false">
      <c r="A23" s="10" t="s">
        <v>16</v>
      </c>
      <c r="B23" s="34" t="n">
        <v>85</v>
      </c>
      <c r="C23" s="10" t="s">
        <v>14</v>
      </c>
      <c r="D23" s="10"/>
    </row>
    <row r="24" customFormat="false" ht="15" hidden="false" customHeight="true" outlineLevel="0" collapsed="false">
      <c r="A24" s="6" t="s">
        <v>494</v>
      </c>
      <c r="B24" s="35" t="n">
        <v>116</v>
      </c>
      <c r="C24" s="6" t="s">
        <v>14</v>
      </c>
      <c r="D24" s="6"/>
    </row>
    <row r="25" customFormat="false" ht="15" hidden="false" customHeight="true" outlineLevel="0" collapsed="false">
      <c r="A25" s="10" t="s">
        <v>495</v>
      </c>
      <c r="B25" s="34" t="n">
        <v>13</v>
      </c>
      <c r="C25" s="10" t="s">
        <v>14</v>
      </c>
      <c r="D25" s="10"/>
    </row>
    <row r="26" customFormat="false" ht="15" hidden="false" customHeight="true" outlineLevel="0" collapsed="false">
      <c r="A26" s="6" t="s">
        <v>384</v>
      </c>
      <c r="B26" s="35" t="n">
        <v>232</v>
      </c>
      <c r="C26" s="6" t="s">
        <v>14</v>
      </c>
      <c r="D26" s="6"/>
    </row>
    <row r="27" customFormat="false" ht="15" hidden="false" customHeight="true" outlineLevel="0" collapsed="false">
      <c r="A27" s="10" t="s">
        <v>496</v>
      </c>
      <c r="B27" s="34" t="n">
        <v>120</v>
      </c>
      <c r="C27" s="10" t="s">
        <v>10</v>
      </c>
      <c r="D27" s="10"/>
    </row>
    <row r="28" customFormat="false" ht="15" hidden="false" customHeight="true" outlineLevel="0" collapsed="false">
      <c r="A28" s="6" t="s">
        <v>497</v>
      </c>
      <c r="B28" s="35" t="n">
        <v>59.57</v>
      </c>
      <c r="C28" s="6" t="s">
        <v>14</v>
      </c>
      <c r="D28" s="6"/>
    </row>
    <row r="29" customFormat="false" ht="15" hidden="false" customHeight="true" outlineLevel="0" collapsed="false">
      <c r="A29" s="10"/>
      <c r="B29" s="34"/>
      <c r="C29" s="10"/>
      <c r="D29" s="10"/>
    </row>
    <row r="30" customFormat="false" ht="15" hidden="false" customHeight="true" outlineLevel="0" collapsed="false">
      <c r="A30" s="6"/>
      <c r="B30" s="35"/>
      <c r="C30" s="6"/>
      <c r="D30" s="6"/>
    </row>
    <row r="31" customFormat="false" ht="15" hidden="false" customHeight="true" outlineLevel="0" collapsed="false">
      <c r="A31" s="10"/>
      <c r="B31" s="34"/>
      <c r="C31" s="10"/>
      <c r="D31" s="10"/>
    </row>
    <row r="32" customFormat="false" ht="15" hidden="false" customHeight="true" outlineLevel="0" collapsed="false">
      <c r="A32" s="6"/>
      <c r="B32" s="35"/>
      <c r="C32" s="6"/>
      <c r="D32" s="6"/>
    </row>
    <row r="33" customFormat="false" ht="15" hidden="false" customHeight="true" outlineLevel="0" collapsed="false">
      <c r="A33" s="10"/>
      <c r="B33" s="34"/>
      <c r="C33" s="10"/>
      <c r="D33" s="10"/>
    </row>
    <row r="34" customFormat="false" ht="15" hidden="false" customHeight="true" outlineLevel="0" collapsed="false">
      <c r="A34" s="18" t="s">
        <v>38</v>
      </c>
      <c r="B34" s="36" t="n">
        <f aca="false">SUM(B11:B33)</f>
        <v>3914.86</v>
      </c>
      <c r="C34" s="18"/>
      <c r="D34" s="18"/>
    </row>
    <row r="35" customFormat="false" ht="6" hidden="false" customHeight="true" outlineLevel="0" collapsed="false"/>
    <row r="36" customFormat="false" ht="15" hidden="false" customHeight="true" outlineLevel="0" collapsed="false">
      <c r="A36" s="20" t="s">
        <v>39</v>
      </c>
      <c r="B36" s="20"/>
      <c r="C36" s="20"/>
      <c r="D36" s="20"/>
    </row>
    <row r="37" customFormat="false" ht="15" hidden="false" customHeight="true" outlineLevel="0" collapsed="false">
      <c r="A37" s="21" t="s">
        <v>40</v>
      </c>
      <c r="B37" s="37" t="n">
        <f aca="false">B7</f>
        <v>0</v>
      </c>
      <c r="C37" s="23"/>
      <c r="D37" s="23"/>
    </row>
    <row r="38" customFormat="false" ht="15" hidden="false" customHeight="true" outlineLevel="0" collapsed="false">
      <c r="A38" s="24" t="s">
        <v>41</v>
      </c>
      <c r="B38" s="38" t="n">
        <f aca="false">B34</f>
        <v>3914.86</v>
      </c>
      <c r="C38" s="26"/>
      <c r="D38" s="26"/>
    </row>
    <row r="39" customFormat="false" ht="15" hidden="false" customHeight="true" outlineLevel="0" collapsed="false">
      <c r="A39" s="27" t="s">
        <v>42</v>
      </c>
      <c r="B39" s="39" t="n">
        <f aca="false">B37-B38</f>
        <v>-3914.86</v>
      </c>
      <c r="C39" s="29"/>
      <c r="D39" s="29"/>
    </row>
  </sheetData>
  <mergeCells count="7">
    <mergeCell ref="A1:D1"/>
    <mergeCell ref="A3:D3"/>
    <mergeCell ref="A9:D9"/>
    <mergeCell ref="A36:D36"/>
    <mergeCell ref="C37:D37"/>
    <mergeCell ref="C38:D38"/>
    <mergeCell ref="C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498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499</v>
      </c>
      <c r="B11" s="34" t="n">
        <v>169</v>
      </c>
      <c r="C11" s="10" t="s">
        <v>14</v>
      </c>
      <c r="D11" s="10"/>
    </row>
    <row r="12" customFormat="false" ht="15" hidden="false" customHeight="true" outlineLevel="0" collapsed="false">
      <c r="A12" s="6" t="s">
        <v>500</v>
      </c>
      <c r="B12" s="35" t="n">
        <v>292</v>
      </c>
      <c r="C12" s="6" t="s">
        <v>14</v>
      </c>
      <c r="D12" s="6"/>
    </row>
    <row r="13" customFormat="false" ht="15" hidden="false" customHeight="true" outlineLevel="0" collapsed="false">
      <c r="A13" s="10" t="s">
        <v>501</v>
      </c>
      <c r="B13" s="34" t="n">
        <v>266</v>
      </c>
      <c r="C13" s="10" t="s">
        <v>7</v>
      </c>
      <c r="D13" s="10"/>
    </row>
    <row r="14" customFormat="false" ht="15" hidden="false" customHeight="true" outlineLevel="0" collapsed="false">
      <c r="A14" s="6" t="s">
        <v>274</v>
      </c>
      <c r="B14" s="35" t="n">
        <v>887</v>
      </c>
      <c r="C14" s="6" t="s">
        <v>14</v>
      </c>
      <c r="D14" s="6"/>
    </row>
    <row r="15" customFormat="false" ht="15" hidden="false" customHeight="true" outlineLevel="0" collapsed="false">
      <c r="A15" s="10" t="s">
        <v>502</v>
      </c>
      <c r="B15" s="34" t="n">
        <v>337</v>
      </c>
      <c r="C15" s="10" t="s">
        <v>14</v>
      </c>
      <c r="D15" s="10"/>
    </row>
    <row r="16" customFormat="false" ht="15" hidden="false" customHeight="true" outlineLevel="0" collapsed="false">
      <c r="A16" s="6" t="s">
        <v>17</v>
      </c>
      <c r="B16" s="35" t="n">
        <v>127</v>
      </c>
      <c r="C16" s="6" t="s">
        <v>14</v>
      </c>
      <c r="D16" s="6"/>
    </row>
    <row r="17" customFormat="false" ht="15" hidden="false" customHeight="true" outlineLevel="0" collapsed="false">
      <c r="A17" s="10" t="s">
        <v>33</v>
      </c>
      <c r="B17" s="34" t="n">
        <v>137</v>
      </c>
      <c r="C17" s="10" t="s">
        <v>14</v>
      </c>
      <c r="D17" s="10"/>
    </row>
    <row r="18" customFormat="false" ht="15" hidden="false" customHeight="true" outlineLevel="0" collapsed="false">
      <c r="A18" s="6" t="s">
        <v>31</v>
      </c>
      <c r="B18" s="35" t="n">
        <v>100</v>
      </c>
      <c r="C18" s="6" t="s">
        <v>14</v>
      </c>
      <c r="D18" s="6"/>
    </row>
    <row r="19" customFormat="false" ht="15" hidden="false" customHeight="true" outlineLevel="0" collapsed="false">
      <c r="A19" s="10" t="s">
        <v>151</v>
      </c>
      <c r="B19" s="34" t="n">
        <v>30</v>
      </c>
      <c r="C19" s="10" t="s">
        <v>10</v>
      </c>
      <c r="D19" s="10"/>
    </row>
    <row r="20" customFormat="false" ht="15" hidden="false" customHeight="true" outlineLevel="0" collapsed="false">
      <c r="A20" s="6" t="s">
        <v>150</v>
      </c>
      <c r="B20" s="35" t="n">
        <v>17</v>
      </c>
      <c r="C20" s="6" t="s">
        <v>7</v>
      </c>
      <c r="D20" s="6"/>
    </row>
    <row r="21" customFormat="false" ht="15" hidden="false" customHeight="true" outlineLevel="0" collapsed="false">
      <c r="A21" s="10" t="s">
        <v>16</v>
      </c>
      <c r="B21" s="34" t="n">
        <v>85</v>
      </c>
      <c r="C21" s="10" t="s">
        <v>14</v>
      </c>
      <c r="D21" s="10"/>
    </row>
    <row r="22" customFormat="false" ht="15" hidden="false" customHeight="true" outlineLevel="0" collapsed="false">
      <c r="A22" s="6" t="s">
        <v>503</v>
      </c>
      <c r="B22" s="35" t="n">
        <v>116</v>
      </c>
      <c r="C22" s="6" t="s">
        <v>14</v>
      </c>
      <c r="D22" s="6"/>
    </row>
    <row r="23" customFormat="false" ht="15" hidden="false" customHeight="true" outlineLevel="0" collapsed="false">
      <c r="A23" s="10" t="s">
        <v>67</v>
      </c>
      <c r="B23" s="34" t="n">
        <v>13</v>
      </c>
      <c r="C23" s="10" t="s">
        <v>14</v>
      </c>
      <c r="D23" s="10"/>
    </row>
    <row r="24" customFormat="false" ht="15" hidden="false" customHeight="true" outlineLevel="0" collapsed="false">
      <c r="A24" s="6" t="s">
        <v>497</v>
      </c>
      <c r="B24" s="35" t="n">
        <v>34</v>
      </c>
      <c r="C24" s="6" t="s">
        <v>14</v>
      </c>
      <c r="D24" s="6"/>
    </row>
    <row r="25" customFormat="false" ht="15" hidden="false" customHeight="true" outlineLevel="0" collapsed="false">
      <c r="A25" s="10" t="s">
        <v>504</v>
      </c>
      <c r="B25" s="34" t="n">
        <v>900</v>
      </c>
      <c r="C25" s="10" t="s">
        <v>14</v>
      </c>
      <c r="D25" s="10"/>
    </row>
    <row r="26" customFormat="false" ht="15" hidden="false" customHeight="true" outlineLevel="0" collapsed="false">
      <c r="A26" s="6" t="s">
        <v>505</v>
      </c>
      <c r="B26" s="35" t="n">
        <v>96.58</v>
      </c>
      <c r="C26" s="6" t="s">
        <v>14</v>
      </c>
      <c r="D26" s="6"/>
    </row>
    <row r="27" customFormat="false" ht="15" hidden="false" customHeight="true" outlineLevel="0" collapsed="false">
      <c r="A27" s="10"/>
      <c r="B27" s="34"/>
      <c r="C27" s="10"/>
      <c r="D27" s="10"/>
    </row>
    <row r="28" customFormat="false" ht="15" hidden="false" customHeight="true" outlineLevel="0" collapsed="false">
      <c r="A28" s="6"/>
      <c r="B28" s="35"/>
      <c r="C28" s="6"/>
      <c r="D28" s="6"/>
    </row>
    <row r="29" customFormat="false" ht="15" hidden="false" customHeight="true" outlineLevel="0" collapsed="false">
      <c r="A29" s="10"/>
      <c r="B29" s="34"/>
      <c r="C29" s="10"/>
      <c r="D29" s="10"/>
    </row>
    <row r="30" customFormat="false" ht="15" hidden="false" customHeight="true" outlineLevel="0" collapsed="false">
      <c r="A30" s="6"/>
      <c r="B30" s="35"/>
      <c r="C30" s="6"/>
      <c r="D30" s="6"/>
    </row>
    <row r="31" customFormat="false" ht="15" hidden="false" customHeight="true" outlineLevel="0" collapsed="false">
      <c r="A31" s="10"/>
      <c r="B31" s="34"/>
      <c r="C31" s="10"/>
      <c r="D31" s="10"/>
    </row>
    <row r="32" customFormat="false" ht="15" hidden="false" customHeight="true" outlineLevel="0" collapsed="false">
      <c r="A32" s="18" t="s">
        <v>38</v>
      </c>
      <c r="B32" s="36" t="n">
        <f aca="false">SUM(B11:B31)</f>
        <v>3606.58</v>
      </c>
      <c r="C32" s="18"/>
      <c r="D32" s="18"/>
    </row>
    <row r="33" customFormat="false" ht="6" hidden="false" customHeight="true" outlineLevel="0" collapsed="false"/>
    <row r="34" customFormat="false" ht="15" hidden="false" customHeight="true" outlineLevel="0" collapsed="false">
      <c r="A34" s="20" t="s">
        <v>39</v>
      </c>
      <c r="B34" s="20"/>
      <c r="C34" s="20"/>
      <c r="D34" s="20"/>
    </row>
    <row r="35" customFormat="false" ht="15" hidden="false" customHeight="true" outlineLevel="0" collapsed="false">
      <c r="A35" s="21" t="s">
        <v>40</v>
      </c>
      <c r="B35" s="37" t="n">
        <f aca="false">B7</f>
        <v>0</v>
      </c>
      <c r="C35" s="23"/>
      <c r="D35" s="23"/>
    </row>
    <row r="36" customFormat="false" ht="15" hidden="false" customHeight="true" outlineLevel="0" collapsed="false">
      <c r="A36" s="24" t="s">
        <v>41</v>
      </c>
      <c r="B36" s="38" t="n">
        <f aca="false">B32</f>
        <v>3606.58</v>
      </c>
      <c r="C36" s="26"/>
      <c r="D36" s="26"/>
    </row>
    <row r="37" customFormat="false" ht="15" hidden="false" customHeight="true" outlineLevel="0" collapsed="false">
      <c r="A37" s="27" t="s">
        <v>42</v>
      </c>
      <c r="B37" s="39" t="n">
        <f aca="false">B35-B36</f>
        <v>-3606.58</v>
      </c>
      <c r="C37" s="29"/>
      <c r="D37" s="29"/>
    </row>
  </sheetData>
  <mergeCells count="7">
    <mergeCell ref="A1:D1"/>
    <mergeCell ref="A3:D3"/>
    <mergeCell ref="A9:D9"/>
    <mergeCell ref="A34:D34"/>
    <mergeCell ref="C35:D35"/>
    <mergeCell ref="C36:D36"/>
    <mergeCell ref="C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506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507</v>
      </c>
      <c r="B11" s="34" t="n">
        <v>292</v>
      </c>
      <c r="C11" s="10" t="s">
        <v>14</v>
      </c>
      <c r="D11" s="10" t="s">
        <v>508</v>
      </c>
    </row>
    <row r="12" customFormat="false" ht="15" hidden="false" customHeight="true" outlineLevel="0" collapsed="false">
      <c r="A12" s="6" t="s">
        <v>78</v>
      </c>
      <c r="B12" s="35" t="n">
        <v>190</v>
      </c>
      <c r="C12" s="6" t="s">
        <v>7</v>
      </c>
      <c r="D12" s="6"/>
    </row>
    <row r="13" customFormat="false" ht="15" hidden="false" customHeight="true" outlineLevel="0" collapsed="false">
      <c r="A13" s="10" t="s">
        <v>218</v>
      </c>
      <c r="B13" s="34" t="n">
        <v>42</v>
      </c>
      <c r="C13" s="10" t="s">
        <v>14</v>
      </c>
      <c r="D13" s="10"/>
    </row>
    <row r="14" customFormat="false" ht="15" hidden="false" customHeight="true" outlineLevel="0" collapsed="false">
      <c r="A14" s="6" t="s">
        <v>424</v>
      </c>
      <c r="B14" s="35" t="n">
        <v>266</v>
      </c>
      <c r="C14" s="6" t="s">
        <v>7</v>
      </c>
      <c r="D14" s="6"/>
    </row>
    <row r="15" customFormat="false" ht="15" hidden="false" customHeight="true" outlineLevel="0" collapsed="false">
      <c r="A15" s="10" t="s">
        <v>509</v>
      </c>
      <c r="B15" s="34" t="n">
        <v>337</v>
      </c>
      <c r="C15" s="10" t="s">
        <v>14</v>
      </c>
      <c r="D15" s="10"/>
    </row>
    <row r="16" customFormat="false" ht="15" hidden="false" customHeight="true" outlineLevel="0" collapsed="false">
      <c r="A16" s="6" t="s">
        <v>274</v>
      </c>
      <c r="B16" s="35" t="n">
        <v>887</v>
      </c>
      <c r="C16" s="6" t="s">
        <v>14</v>
      </c>
      <c r="D16" s="6"/>
    </row>
    <row r="17" customFormat="false" ht="15" hidden="false" customHeight="true" outlineLevel="0" collapsed="false">
      <c r="A17" s="10" t="s">
        <v>17</v>
      </c>
      <c r="B17" s="34" t="n">
        <v>127</v>
      </c>
      <c r="C17" s="10" t="s">
        <v>14</v>
      </c>
      <c r="D17" s="10"/>
    </row>
    <row r="18" customFormat="false" ht="15" hidden="false" customHeight="true" outlineLevel="0" collapsed="false">
      <c r="A18" s="6" t="s">
        <v>33</v>
      </c>
      <c r="B18" s="35" t="n">
        <v>880</v>
      </c>
      <c r="C18" s="6" t="s">
        <v>14</v>
      </c>
      <c r="D18" s="6" t="s">
        <v>510</v>
      </c>
    </row>
    <row r="19" customFormat="false" ht="15" hidden="false" customHeight="true" outlineLevel="0" collapsed="false">
      <c r="A19" s="10" t="s">
        <v>31</v>
      </c>
      <c r="B19" s="34" t="n">
        <v>102</v>
      </c>
      <c r="C19" s="10" t="s">
        <v>14</v>
      </c>
      <c r="D19" s="10"/>
    </row>
    <row r="20" customFormat="false" ht="15" hidden="false" customHeight="true" outlineLevel="0" collapsed="false">
      <c r="A20" s="6" t="s">
        <v>151</v>
      </c>
      <c r="B20" s="35" t="n">
        <v>30</v>
      </c>
      <c r="C20" s="6" t="s">
        <v>10</v>
      </c>
      <c r="D20" s="6"/>
    </row>
    <row r="21" customFormat="false" ht="15" hidden="false" customHeight="true" outlineLevel="0" collapsed="false">
      <c r="A21" s="10" t="s">
        <v>150</v>
      </c>
      <c r="B21" s="34" t="n">
        <v>17</v>
      </c>
      <c r="C21" s="10" t="s">
        <v>7</v>
      </c>
      <c r="D21" s="10"/>
    </row>
    <row r="22" customFormat="false" ht="15" hidden="false" customHeight="true" outlineLevel="0" collapsed="false">
      <c r="A22" s="6" t="s">
        <v>16</v>
      </c>
      <c r="B22" s="35" t="n">
        <v>85</v>
      </c>
      <c r="C22" s="6" t="s">
        <v>14</v>
      </c>
      <c r="D22" s="6"/>
    </row>
    <row r="23" customFormat="false" ht="15" hidden="false" customHeight="true" outlineLevel="0" collapsed="false">
      <c r="A23" s="10" t="s">
        <v>67</v>
      </c>
      <c r="B23" s="34" t="n">
        <v>13</v>
      </c>
      <c r="C23" s="10" t="s">
        <v>14</v>
      </c>
      <c r="D23" s="10"/>
    </row>
    <row r="24" customFormat="false" ht="15" hidden="false" customHeight="true" outlineLevel="0" collapsed="false">
      <c r="A24" s="6" t="s">
        <v>511</v>
      </c>
      <c r="B24" s="35" t="n">
        <v>150</v>
      </c>
      <c r="C24" s="6" t="s">
        <v>14</v>
      </c>
      <c r="D24" s="6"/>
    </row>
    <row r="25" customFormat="false" ht="15" hidden="false" customHeight="true" outlineLevel="0" collapsed="false">
      <c r="A25" s="10" t="s">
        <v>505</v>
      </c>
      <c r="B25" s="34" t="n">
        <v>96</v>
      </c>
      <c r="C25" s="10" t="s">
        <v>14</v>
      </c>
      <c r="D25" s="10"/>
    </row>
    <row r="26" customFormat="false" ht="15" hidden="false" customHeight="true" outlineLevel="0" collapsed="false">
      <c r="A26" s="6" t="s">
        <v>512</v>
      </c>
      <c r="B26" s="35" t="n">
        <v>116</v>
      </c>
      <c r="C26" s="6" t="s">
        <v>14</v>
      </c>
      <c r="D26" s="6"/>
    </row>
    <row r="27" customFormat="false" ht="15" hidden="false" customHeight="true" outlineLevel="0" collapsed="false">
      <c r="A27" s="10" t="s">
        <v>358</v>
      </c>
      <c r="B27" s="34" t="n">
        <v>105</v>
      </c>
      <c r="C27" s="10" t="s">
        <v>14</v>
      </c>
      <c r="D27" s="10"/>
    </row>
    <row r="28" customFormat="false" ht="15" hidden="false" customHeight="true" outlineLevel="0" collapsed="false">
      <c r="A28" s="6" t="s">
        <v>513</v>
      </c>
      <c r="B28" s="35" t="n">
        <v>146</v>
      </c>
      <c r="C28" s="6" t="s">
        <v>7</v>
      </c>
      <c r="D28" s="6"/>
    </row>
    <row r="29" customFormat="false" ht="15" hidden="false" customHeight="true" outlineLevel="0" collapsed="false">
      <c r="A29" s="10" t="s">
        <v>384</v>
      </c>
      <c r="B29" s="34" t="n">
        <v>319</v>
      </c>
      <c r="C29" s="10" t="s">
        <v>14</v>
      </c>
      <c r="D29" s="10"/>
    </row>
    <row r="30" customFormat="false" ht="15" hidden="false" customHeight="true" outlineLevel="0" collapsed="false">
      <c r="A30" s="6" t="s">
        <v>514</v>
      </c>
      <c r="B30" s="35" t="n">
        <v>144</v>
      </c>
      <c r="C30" s="6" t="s">
        <v>14</v>
      </c>
      <c r="D30" s="6"/>
    </row>
    <row r="31" customFormat="false" ht="15" hidden="false" customHeight="true" outlineLevel="0" collapsed="false">
      <c r="A31" s="10" t="s">
        <v>515</v>
      </c>
      <c r="B31" s="34" t="n">
        <v>27.5</v>
      </c>
      <c r="C31" s="10" t="s">
        <v>14</v>
      </c>
      <c r="D31" s="10"/>
    </row>
    <row r="32" customFormat="false" ht="15" hidden="false" customHeight="true" outlineLevel="0" collapsed="false">
      <c r="A32" s="6" t="s">
        <v>37</v>
      </c>
      <c r="B32" s="35" t="n">
        <v>39.5</v>
      </c>
      <c r="C32" s="6" t="s">
        <v>14</v>
      </c>
      <c r="D32" s="6"/>
    </row>
    <row r="33" customFormat="false" ht="15" hidden="false" customHeight="true" outlineLevel="0" collapsed="false">
      <c r="A33" s="10"/>
      <c r="B33" s="34"/>
      <c r="C33" s="10"/>
      <c r="D33" s="10"/>
    </row>
    <row r="34" customFormat="false" ht="15" hidden="false" customHeight="true" outlineLevel="0" collapsed="false">
      <c r="A34" s="6"/>
      <c r="B34" s="35"/>
      <c r="C34" s="6"/>
      <c r="D34" s="6"/>
    </row>
    <row r="35" customFormat="false" ht="15" hidden="false" customHeight="true" outlineLevel="0" collapsed="false">
      <c r="A35" s="10"/>
      <c r="B35" s="34"/>
      <c r="C35" s="10"/>
      <c r="D35" s="10"/>
    </row>
    <row r="36" customFormat="false" ht="15" hidden="false" customHeight="true" outlineLevel="0" collapsed="false">
      <c r="A36" s="6"/>
      <c r="B36" s="35"/>
      <c r="C36" s="6"/>
      <c r="D36" s="6"/>
    </row>
    <row r="37" customFormat="false" ht="15" hidden="false" customHeight="true" outlineLevel="0" collapsed="false">
      <c r="A37" s="10"/>
      <c r="B37" s="34"/>
      <c r="C37" s="10"/>
      <c r="D37" s="10"/>
    </row>
    <row r="38" customFormat="false" ht="15" hidden="false" customHeight="true" outlineLevel="0" collapsed="false">
      <c r="A38" s="18" t="s">
        <v>38</v>
      </c>
      <c r="B38" s="36" t="n">
        <f aca="false">SUM(B11:B37)</f>
        <v>4411</v>
      </c>
      <c r="C38" s="18"/>
      <c r="D38" s="18"/>
    </row>
    <row r="39" customFormat="false" ht="6" hidden="false" customHeight="true" outlineLevel="0" collapsed="false"/>
    <row r="40" customFormat="false" ht="15" hidden="false" customHeight="true" outlineLevel="0" collapsed="false">
      <c r="A40" s="20" t="s">
        <v>39</v>
      </c>
      <c r="B40" s="20"/>
      <c r="C40" s="20"/>
      <c r="D40" s="20"/>
    </row>
    <row r="41" customFormat="false" ht="15" hidden="false" customHeight="true" outlineLevel="0" collapsed="false">
      <c r="A41" s="21" t="s">
        <v>40</v>
      </c>
      <c r="B41" s="37" t="n">
        <f aca="false">B7</f>
        <v>0</v>
      </c>
      <c r="C41" s="23"/>
      <c r="D41" s="23"/>
    </row>
    <row r="42" customFormat="false" ht="15" hidden="false" customHeight="true" outlineLevel="0" collapsed="false">
      <c r="A42" s="24" t="s">
        <v>41</v>
      </c>
      <c r="B42" s="38" t="n">
        <f aca="false">B38</f>
        <v>4411</v>
      </c>
      <c r="C42" s="26"/>
      <c r="D42" s="26"/>
    </row>
    <row r="43" customFormat="false" ht="15" hidden="false" customHeight="true" outlineLevel="0" collapsed="false">
      <c r="A43" s="27" t="s">
        <v>42</v>
      </c>
      <c r="B43" s="39" t="n">
        <f aca="false">B41-B42</f>
        <v>-4411</v>
      </c>
      <c r="C43" s="29"/>
      <c r="D43" s="29"/>
    </row>
  </sheetData>
  <mergeCells count="7">
    <mergeCell ref="A1:D1"/>
    <mergeCell ref="A3:D3"/>
    <mergeCell ref="A9:D9"/>
    <mergeCell ref="A40:D40"/>
    <mergeCell ref="C41:D41"/>
    <mergeCell ref="C42:D42"/>
    <mergeCell ref="C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516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517</v>
      </c>
      <c r="B11" s="34" t="n">
        <v>292</v>
      </c>
      <c r="C11" s="10" t="s">
        <v>14</v>
      </c>
      <c r="D11" s="10" t="s">
        <v>518</v>
      </c>
    </row>
    <row r="12" customFormat="false" ht="15" hidden="false" customHeight="true" outlineLevel="0" collapsed="false">
      <c r="A12" s="6" t="s">
        <v>78</v>
      </c>
      <c r="B12" s="35" t="n">
        <v>190</v>
      </c>
      <c r="C12" s="6" t="s">
        <v>7</v>
      </c>
      <c r="D12" s="6"/>
    </row>
    <row r="13" customFormat="false" ht="15" hidden="false" customHeight="true" outlineLevel="0" collapsed="false">
      <c r="A13" s="10" t="s">
        <v>218</v>
      </c>
      <c r="B13" s="34" t="n">
        <v>92</v>
      </c>
      <c r="C13" s="10" t="s">
        <v>14</v>
      </c>
      <c r="D13" s="10"/>
    </row>
    <row r="14" customFormat="false" ht="15" hidden="false" customHeight="true" outlineLevel="0" collapsed="false">
      <c r="A14" s="6" t="s">
        <v>424</v>
      </c>
      <c r="B14" s="35" t="n">
        <v>266</v>
      </c>
      <c r="C14" s="6" t="s">
        <v>7</v>
      </c>
      <c r="D14" s="6"/>
    </row>
    <row r="15" customFormat="false" ht="15" hidden="false" customHeight="true" outlineLevel="0" collapsed="false">
      <c r="A15" s="10" t="s">
        <v>519</v>
      </c>
      <c r="B15" s="34" t="n">
        <v>337</v>
      </c>
      <c r="C15" s="10" t="s">
        <v>14</v>
      </c>
      <c r="D15" s="10"/>
    </row>
    <row r="16" customFormat="false" ht="15" hidden="false" customHeight="true" outlineLevel="0" collapsed="false">
      <c r="A16" s="6" t="s">
        <v>274</v>
      </c>
      <c r="B16" s="35" t="n">
        <v>887</v>
      </c>
      <c r="C16" s="6" t="s">
        <v>14</v>
      </c>
      <c r="D16" s="6"/>
    </row>
    <row r="17" customFormat="false" ht="15" hidden="false" customHeight="true" outlineLevel="0" collapsed="false">
      <c r="A17" s="10" t="s">
        <v>17</v>
      </c>
      <c r="B17" s="34" t="n">
        <v>127</v>
      </c>
      <c r="C17" s="10" t="s">
        <v>14</v>
      </c>
      <c r="D17" s="10"/>
    </row>
    <row r="18" customFormat="false" ht="15" hidden="false" customHeight="true" outlineLevel="0" collapsed="false">
      <c r="A18" s="6" t="s">
        <v>33</v>
      </c>
      <c r="B18" s="35" t="n">
        <v>96.31</v>
      </c>
      <c r="C18" s="6" t="s">
        <v>14</v>
      </c>
      <c r="D18" s="6"/>
    </row>
    <row r="19" customFormat="false" ht="15" hidden="false" customHeight="true" outlineLevel="0" collapsed="false">
      <c r="A19" s="10" t="s">
        <v>31</v>
      </c>
      <c r="B19" s="34" t="n">
        <v>100</v>
      </c>
      <c r="C19" s="10" t="s">
        <v>14</v>
      </c>
      <c r="D19" s="10"/>
    </row>
    <row r="20" customFormat="false" ht="15" hidden="false" customHeight="true" outlineLevel="0" collapsed="false">
      <c r="A20" s="6" t="s">
        <v>151</v>
      </c>
      <c r="B20" s="35" t="n">
        <v>30</v>
      </c>
      <c r="C20" s="6" t="s">
        <v>10</v>
      </c>
      <c r="D20" s="6"/>
    </row>
    <row r="21" customFormat="false" ht="15" hidden="false" customHeight="true" outlineLevel="0" collapsed="false">
      <c r="A21" s="10" t="s">
        <v>150</v>
      </c>
      <c r="B21" s="34" t="n">
        <v>17</v>
      </c>
      <c r="C21" s="10" t="s">
        <v>7</v>
      </c>
      <c r="D21" s="10"/>
    </row>
    <row r="22" customFormat="false" ht="15" hidden="false" customHeight="true" outlineLevel="0" collapsed="false">
      <c r="A22" s="6" t="s">
        <v>16</v>
      </c>
      <c r="B22" s="35" t="n">
        <v>85</v>
      </c>
      <c r="C22" s="6" t="s">
        <v>14</v>
      </c>
      <c r="D22" s="6"/>
    </row>
    <row r="23" customFormat="false" ht="15" hidden="false" customHeight="true" outlineLevel="0" collapsed="false">
      <c r="A23" s="10" t="s">
        <v>67</v>
      </c>
      <c r="B23" s="34" t="n">
        <v>13</v>
      </c>
      <c r="C23" s="10" t="s">
        <v>14</v>
      </c>
      <c r="D23" s="10"/>
    </row>
    <row r="24" customFormat="false" ht="15" hidden="false" customHeight="true" outlineLevel="0" collapsed="false">
      <c r="A24" s="6" t="s">
        <v>401</v>
      </c>
      <c r="B24" s="35" t="n">
        <v>30</v>
      </c>
      <c r="C24" s="6" t="s">
        <v>14</v>
      </c>
      <c r="D24" s="6" t="s">
        <v>520</v>
      </c>
    </row>
    <row r="25" customFormat="false" ht="15" hidden="false" customHeight="true" outlineLevel="0" collapsed="false">
      <c r="A25" s="10" t="s">
        <v>505</v>
      </c>
      <c r="B25" s="34" t="n">
        <v>96</v>
      </c>
      <c r="C25" s="10" t="s">
        <v>14</v>
      </c>
      <c r="D25" s="10"/>
    </row>
    <row r="26" customFormat="false" ht="15" hidden="false" customHeight="true" outlineLevel="0" collapsed="false">
      <c r="A26" s="6" t="s">
        <v>521</v>
      </c>
      <c r="B26" s="35" t="n">
        <v>146</v>
      </c>
      <c r="C26" s="6" t="s">
        <v>7</v>
      </c>
      <c r="D26" s="6"/>
    </row>
    <row r="27" customFormat="false" ht="15" hidden="false" customHeight="true" outlineLevel="0" collapsed="false">
      <c r="A27" s="10" t="s">
        <v>384</v>
      </c>
      <c r="B27" s="34" t="n">
        <v>420</v>
      </c>
      <c r="C27" s="10" t="s">
        <v>14</v>
      </c>
      <c r="D27" s="10"/>
    </row>
    <row r="28" customFormat="false" ht="15" hidden="false" customHeight="true" outlineLevel="0" collapsed="false">
      <c r="A28" s="6"/>
      <c r="B28" s="35"/>
      <c r="C28" s="6"/>
      <c r="D28" s="6"/>
    </row>
    <row r="29" customFormat="false" ht="15" hidden="false" customHeight="true" outlineLevel="0" collapsed="false">
      <c r="A29" s="10"/>
      <c r="B29" s="34"/>
      <c r="C29" s="10"/>
      <c r="D29" s="10"/>
    </row>
    <row r="30" customFormat="false" ht="15" hidden="false" customHeight="true" outlineLevel="0" collapsed="false">
      <c r="A30" s="6"/>
      <c r="B30" s="35"/>
      <c r="C30" s="6"/>
      <c r="D30" s="6"/>
    </row>
    <row r="31" customFormat="false" ht="15" hidden="false" customHeight="true" outlineLevel="0" collapsed="false">
      <c r="A31" s="10"/>
      <c r="B31" s="34"/>
      <c r="C31" s="10"/>
      <c r="D31" s="10"/>
    </row>
    <row r="32" customFormat="false" ht="15" hidden="false" customHeight="true" outlineLevel="0" collapsed="false">
      <c r="A32" s="6"/>
      <c r="B32" s="35"/>
      <c r="C32" s="6"/>
      <c r="D32" s="6"/>
    </row>
    <row r="33" customFormat="false" ht="15" hidden="false" customHeight="true" outlineLevel="0" collapsed="false">
      <c r="A33" s="18" t="s">
        <v>38</v>
      </c>
      <c r="B33" s="36" t="n">
        <f aca="false">SUM(B11:B32)</f>
        <v>3224.31</v>
      </c>
      <c r="C33" s="18"/>
      <c r="D33" s="18"/>
    </row>
    <row r="34" customFormat="false" ht="6" hidden="false" customHeight="true" outlineLevel="0" collapsed="false"/>
    <row r="35" customFormat="false" ht="15" hidden="false" customHeight="true" outlineLevel="0" collapsed="false">
      <c r="A35" s="20" t="s">
        <v>39</v>
      </c>
      <c r="B35" s="20"/>
      <c r="C35" s="20"/>
      <c r="D35" s="20"/>
    </row>
    <row r="36" customFormat="false" ht="15" hidden="false" customHeight="true" outlineLevel="0" collapsed="false">
      <c r="A36" s="21" t="s">
        <v>40</v>
      </c>
      <c r="B36" s="37" t="n">
        <f aca="false">B7</f>
        <v>0</v>
      </c>
      <c r="C36" s="23"/>
      <c r="D36" s="23"/>
    </row>
    <row r="37" customFormat="false" ht="15" hidden="false" customHeight="true" outlineLevel="0" collapsed="false">
      <c r="A37" s="24" t="s">
        <v>41</v>
      </c>
      <c r="B37" s="38" t="n">
        <f aca="false">B33</f>
        <v>3224.31</v>
      </c>
      <c r="C37" s="26"/>
      <c r="D37" s="26"/>
    </row>
    <row r="38" customFormat="false" ht="15" hidden="false" customHeight="true" outlineLevel="0" collapsed="false">
      <c r="A38" s="27" t="s">
        <v>42</v>
      </c>
      <c r="B38" s="39" t="n">
        <f aca="false">B36-B37</f>
        <v>-3224.31</v>
      </c>
      <c r="C38" s="29"/>
      <c r="D38" s="29"/>
    </row>
  </sheetData>
  <mergeCells count="7">
    <mergeCell ref="A1:D1"/>
    <mergeCell ref="A3:D3"/>
    <mergeCell ref="A9:D9"/>
    <mergeCell ref="A35:D35"/>
    <mergeCell ref="C36:D36"/>
    <mergeCell ref="C37:D37"/>
    <mergeCell ref="C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522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523</v>
      </c>
      <c r="B11" s="34" t="n">
        <v>292</v>
      </c>
      <c r="C11" s="10" t="s">
        <v>14</v>
      </c>
      <c r="D11" s="10"/>
    </row>
    <row r="12" customFormat="false" ht="15" hidden="false" customHeight="true" outlineLevel="0" collapsed="false">
      <c r="A12" s="6" t="s">
        <v>78</v>
      </c>
      <c r="B12" s="35" t="n">
        <v>190</v>
      </c>
      <c r="C12" s="6" t="s">
        <v>7</v>
      </c>
      <c r="D12" s="6"/>
    </row>
    <row r="13" customFormat="false" ht="15" hidden="false" customHeight="true" outlineLevel="0" collapsed="false">
      <c r="A13" s="10" t="s">
        <v>218</v>
      </c>
      <c r="B13" s="34" t="n">
        <v>92</v>
      </c>
      <c r="C13" s="10" t="s">
        <v>14</v>
      </c>
      <c r="D13" s="10"/>
    </row>
    <row r="14" customFormat="false" ht="15" hidden="false" customHeight="true" outlineLevel="0" collapsed="false">
      <c r="A14" s="6" t="s">
        <v>424</v>
      </c>
      <c r="B14" s="35" t="n">
        <v>266</v>
      </c>
      <c r="C14" s="6" t="s">
        <v>7</v>
      </c>
      <c r="D14" s="6"/>
    </row>
    <row r="15" customFormat="false" ht="15" hidden="false" customHeight="true" outlineLevel="0" collapsed="false">
      <c r="A15" s="10" t="s">
        <v>524</v>
      </c>
      <c r="B15" s="34" t="n">
        <v>337</v>
      </c>
      <c r="C15" s="10" t="s">
        <v>14</v>
      </c>
      <c r="D15" s="10"/>
    </row>
    <row r="16" customFormat="false" ht="15" hidden="false" customHeight="true" outlineLevel="0" collapsed="false">
      <c r="A16" s="6" t="s">
        <v>274</v>
      </c>
      <c r="B16" s="35" t="n">
        <v>887</v>
      </c>
      <c r="C16" s="6" t="s">
        <v>14</v>
      </c>
      <c r="D16" s="6"/>
    </row>
    <row r="17" customFormat="false" ht="15" hidden="false" customHeight="true" outlineLevel="0" collapsed="false">
      <c r="A17" s="10" t="s">
        <v>17</v>
      </c>
      <c r="B17" s="34" t="n">
        <v>127</v>
      </c>
      <c r="C17" s="10" t="s">
        <v>14</v>
      </c>
      <c r="D17" s="10"/>
    </row>
    <row r="18" customFormat="false" ht="15" hidden="false" customHeight="true" outlineLevel="0" collapsed="false">
      <c r="A18" s="6" t="s">
        <v>33</v>
      </c>
      <c r="B18" s="35" t="n">
        <v>77.33</v>
      </c>
      <c r="C18" s="6" t="s">
        <v>14</v>
      </c>
      <c r="D18" s="6"/>
    </row>
    <row r="19" customFormat="false" ht="15" hidden="false" customHeight="true" outlineLevel="0" collapsed="false">
      <c r="A19" s="10" t="s">
        <v>31</v>
      </c>
      <c r="B19" s="34" t="n">
        <v>100</v>
      </c>
      <c r="C19" s="10" t="s">
        <v>14</v>
      </c>
      <c r="D19" s="10"/>
    </row>
    <row r="20" customFormat="false" ht="15" hidden="false" customHeight="true" outlineLevel="0" collapsed="false">
      <c r="A20" s="6" t="s">
        <v>151</v>
      </c>
      <c r="B20" s="35" t="n">
        <v>30</v>
      </c>
      <c r="C20" s="6" t="s">
        <v>10</v>
      </c>
      <c r="D20" s="6"/>
    </row>
    <row r="21" customFormat="false" ht="15" hidden="false" customHeight="true" outlineLevel="0" collapsed="false">
      <c r="A21" s="10" t="s">
        <v>150</v>
      </c>
      <c r="B21" s="34" t="n">
        <v>17</v>
      </c>
      <c r="C21" s="10" t="s">
        <v>7</v>
      </c>
      <c r="D21" s="10"/>
    </row>
    <row r="22" customFormat="false" ht="15" hidden="false" customHeight="true" outlineLevel="0" collapsed="false">
      <c r="A22" s="6" t="s">
        <v>16</v>
      </c>
      <c r="B22" s="35" t="n">
        <v>85</v>
      </c>
      <c r="C22" s="6" t="s">
        <v>14</v>
      </c>
      <c r="D22" s="6"/>
    </row>
    <row r="23" customFormat="false" ht="15" hidden="false" customHeight="true" outlineLevel="0" collapsed="false">
      <c r="A23" s="10" t="s">
        <v>67</v>
      </c>
      <c r="B23" s="34" t="n">
        <v>13</v>
      </c>
      <c r="C23" s="10" t="s">
        <v>14</v>
      </c>
      <c r="D23" s="10"/>
    </row>
    <row r="24" customFormat="false" ht="15" hidden="false" customHeight="true" outlineLevel="0" collapsed="false">
      <c r="A24" s="6" t="s">
        <v>505</v>
      </c>
      <c r="B24" s="35" t="n">
        <v>96</v>
      </c>
      <c r="C24" s="6" t="s">
        <v>14</v>
      </c>
      <c r="D24" s="6"/>
    </row>
    <row r="25" customFormat="false" ht="15" hidden="false" customHeight="true" outlineLevel="0" collapsed="false">
      <c r="A25" s="10" t="s">
        <v>521</v>
      </c>
      <c r="B25" s="34" t="n">
        <v>146</v>
      </c>
      <c r="C25" s="10" t="s">
        <v>7</v>
      </c>
      <c r="D25" s="10"/>
    </row>
    <row r="26" customFormat="false" ht="15" hidden="false" customHeight="true" outlineLevel="0" collapsed="false">
      <c r="A26" s="6" t="s">
        <v>384</v>
      </c>
      <c r="B26" s="35" t="n">
        <v>87.55</v>
      </c>
      <c r="C26" s="6" t="s">
        <v>14</v>
      </c>
      <c r="D26" s="6"/>
    </row>
    <row r="27" customFormat="false" ht="15" hidden="false" customHeight="true" outlineLevel="0" collapsed="false">
      <c r="A27" s="10" t="s">
        <v>525</v>
      </c>
      <c r="B27" s="34" t="n">
        <v>41.25</v>
      </c>
      <c r="C27" s="10" t="s">
        <v>14</v>
      </c>
      <c r="D27" s="10"/>
    </row>
    <row r="28" customFormat="false" ht="15" hidden="false" customHeight="true" outlineLevel="0" collapsed="false">
      <c r="A28" s="6" t="s">
        <v>526</v>
      </c>
      <c r="B28" s="35" t="n">
        <v>250</v>
      </c>
      <c r="C28" s="6" t="s">
        <v>14</v>
      </c>
      <c r="D28" s="6"/>
    </row>
    <row r="29" customFormat="false" ht="15" hidden="false" customHeight="true" outlineLevel="0" collapsed="false">
      <c r="A29" s="10" t="s">
        <v>527</v>
      </c>
      <c r="B29" s="34" t="n">
        <v>120</v>
      </c>
      <c r="C29" s="10" t="s">
        <v>14</v>
      </c>
      <c r="D29" s="10"/>
    </row>
    <row r="30" customFormat="false" ht="15" hidden="false" customHeight="true" outlineLevel="0" collapsed="false">
      <c r="A30" s="6"/>
      <c r="B30" s="35"/>
      <c r="C30" s="6"/>
      <c r="D30" s="6"/>
    </row>
    <row r="31" customFormat="false" ht="15" hidden="false" customHeight="true" outlineLevel="0" collapsed="false">
      <c r="A31" s="10"/>
      <c r="B31" s="34"/>
      <c r="C31" s="10"/>
      <c r="D31" s="10"/>
    </row>
    <row r="32" customFormat="false" ht="15" hidden="false" customHeight="true" outlineLevel="0" collapsed="false">
      <c r="A32" s="6"/>
      <c r="B32" s="35"/>
      <c r="C32" s="6"/>
      <c r="D32" s="6"/>
    </row>
    <row r="33" customFormat="false" ht="15" hidden="false" customHeight="true" outlineLevel="0" collapsed="false">
      <c r="A33" s="10"/>
      <c r="B33" s="34"/>
      <c r="C33" s="10"/>
      <c r="D33" s="10"/>
    </row>
    <row r="34" customFormat="false" ht="15" hidden="false" customHeight="true" outlineLevel="0" collapsed="false">
      <c r="A34" s="6"/>
      <c r="B34" s="35"/>
      <c r="C34" s="6"/>
      <c r="D34" s="6"/>
    </row>
    <row r="35" customFormat="false" ht="15" hidden="false" customHeight="true" outlineLevel="0" collapsed="false">
      <c r="A35" s="18" t="s">
        <v>38</v>
      </c>
      <c r="B35" s="36" t="n">
        <f aca="false">SUM(B11:B34)</f>
        <v>3254.13</v>
      </c>
      <c r="C35" s="18"/>
      <c r="D35" s="18"/>
    </row>
    <row r="36" customFormat="false" ht="6" hidden="false" customHeight="true" outlineLevel="0" collapsed="false"/>
    <row r="37" customFormat="false" ht="15" hidden="false" customHeight="true" outlineLevel="0" collapsed="false">
      <c r="A37" s="20" t="s">
        <v>39</v>
      </c>
      <c r="B37" s="20"/>
      <c r="C37" s="20"/>
      <c r="D37" s="20"/>
    </row>
    <row r="38" customFormat="false" ht="15" hidden="false" customHeight="true" outlineLevel="0" collapsed="false">
      <c r="A38" s="21" t="s">
        <v>40</v>
      </c>
      <c r="B38" s="37" t="n">
        <f aca="false">B7</f>
        <v>0</v>
      </c>
      <c r="C38" s="23"/>
      <c r="D38" s="23"/>
    </row>
    <row r="39" customFormat="false" ht="15" hidden="false" customHeight="true" outlineLevel="0" collapsed="false">
      <c r="A39" s="24" t="s">
        <v>41</v>
      </c>
      <c r="B39" s="38" t="n">
        <f aca="false">B35</f>
        <v>3254.13</v>
      </c>
      <c r="C39" s="26"/>
      <c r="D39" s="26"/>
    </row>
    <row r="40" customFormat="false" ht="15" hidden="false" customHeight="true" outlineLevel="0" collapsed="false">
      <c r="A40" s="27" t="s">
        <v>42</v>
      </c>
      <c r="B40" s="39" t="n">
        <f aca="false">B38-B39</f>
        <v>-3254.13</v>
      </c>
      <c r="C40" s="29"/>
      <c r="D40" s="29"/>
    </row>
  </sheetData>
  <mergeCells count="7">
    <mergeCell ref="A1:D1"/>
    <mergeCell ref="A3:D3"/>
    <mergeCell ref="A9:D9"/>
    <mergeCell ref="A37:D37"/>
    <mergeCell ref="C38:D38"/>
    <mergeCell ref="C39:D39"/>
    <mergeCell ref="C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528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529</v>
      </c>
      <c r="B11" s="34" t="n">
        <v>292</v>
      </c>
      <c r="C11" s="10" t="s">
        <v>14</v>
      </c>
      <c r="D11" s="10"/>
    </row>
    <row r="12" customFormat="false" ht="15" hidden="false" customHeight="true" outlineLevel="0" collapsed="false">
      <c r="A12" s="6" t="s">
        <v>78</v>
      </c>
      <c r="B12" s="35" t="n">
        <v>790</v>
      </c>
      <c r="C12" s="6" t="s">
        <v>14</v>
      </c>
      <c r="D12" s="6"/>
    </row>
    <row r="13" customFormat="false" ht="15" hidden="false" customHeight="true" outlineLevel="0" collapsed="false">
      <c r="A13" s="10" t="s">
        <v>218</v>
      </c>
      <c r="B13" s="34" t="n">
        <v>100</v>
      </c>
      <c r="C13" s="10" t="s">
        <v>14</v>
      </c>
      <c r="D13" s="10"/>
    </row>
    <row r="14" customFormat="false" ht="15" hidden="false" customHeight="true" outlineLevel="0" collapsed="false">
      <c r="A14" s="6" t="s">
        <v>424</v>
      </c>
      <c r="B14" s="35" t="n">
        <v>266</v>
      </c>
      <c r="C14" s="6" t="s">
        <v>7</v>
      </c>
      <c r="D14" s="6"/>
    </row>
    <row r="15" customFormat="false" ht="15" hidden="false" customHeight="true" outlineLevel="0" collapsed="false">
      <c r="A15" s="10" t="s">
        <v>530</v>
      </c>
      <c r="B15" s="34" t="n">
        <v>337</v>
      </c>
      <c r="C15" s="10" t="s">
        <v>14</v>
      </c>
      <c r="D15" s="10"/>
    </row>
    <row r="16" customFormat="false" ht="15" hidden="false" customHeight="true" outlineLevel="0" collapsed="false">
      <c r="A16" s="6" t="s">
        <v>531</v>
      </c>
      <c r="B16" s="35" t="n">
        <v>337.75</v>
      </c>
      <c r="C16" s="6" t="s">
        <v>14</v>
      </c>
      <c r="D16" s="6"/>
    </row>
    <row r="17" customFormat="false" ht="15" hidden="false" customHeight="true" outlineLevel="0" collapsed="false">
      <c r="A17" s="10" t="s">
        <v>274</v>
      </c>
      <c r="B17" s="34" t="n">
        <v>887</v>
      </c>
      <c r="C17" s="10" t="s">
        <v>14</v>
      </c>
      <c r="D17" s="10"/>
    </row>
    <row r="18" customFormat="false" ht="15" hidden="false" customHeight="true" outlineLevel="0" collapsed="false">
      <c r="A18" s="6" t="s">
        <v>17</v>
      </c>
      <c r="B18" s="35" t="n">
        <v>127</v>
      </c>
      <c r="C18" s="6" t="s">
        <v>14</v>
      </c>
      <c r="D18" s="6"/>
    </row>
    <row r="19" customFormat="false" ht="15" hidden="false" customHeight="true" outlineLevel="0" collapsed="false">
      <c r="A19" s="10" t="s">
        <v>33</v>
      </c>
      <c r="B19" s="34" t="n">
        <v>193</v>
      </c>
      <c r="C19" s="10" t="s">
        <v>14</v>
      </c>
      <c r="D19" s="10"/>
    </row>
    <row r="20" customFormat="false" ht="15" hidden="false" customHeight="true" outlineLevel="0" collapsed="false">
      <c r="A20" s="6" t="s">
        <v>31</v>
      </c>
      <c r="B20" s="35" t="n">
        <v>100</v>
      </c>
      <c r="C20" s="6" t="s">
        <v>14</v>
      </c>
      <c r="D20" s="6"/>
    </row>
    <row r="21" customFormat="false" ht="15" hidden="false" customHeight="true" outlineLevel="0" collapsed="false">
      <c r="A21" s="10" t="s">
        <v>532</v>
      </c>
      <c r="B21" s="34" t="n">
        <v>30</v>
      </c>
      <c r="C21" s="10" t="s">
        <v>10</v>
      </c>
      <c r="D21" s="10"/>
    </row>
    <row r="22" customFormat="false" ht="15" hidden="false" customHeight="true" outlineLevel="0" collapsed="false">
      <c r="A22" s="6" t="s">
        <v>533</v>
      </c>
      <c r="B22" s="35" t="n">
        <v>17</v>
      </c>
      <c r="C22" s="6" t="s">
        <v>7</v>
      </c>
      <c r="D22" s="6"/>
    </row>
    <row r="23" customFormat="false" ht="15" hidden="false" customHeight="true" outlineLevel="0" collapsed="false">
      <c r="A23" s="10" t="s">
        <v>16</v>
      </c>
      <c r="B23" s="34" t="n">
        <v>85</v>
      </c>
      <c r="C23" s="10" t="s">
        <v>14</v>
      </c>
      <c r="D23" s="10"/>
    </row>
    <row r="24" customFormat="false" ht="15" hidden="false" customHeight="true" outlineLevel="0" collapsed="false">
      <c r="A24" s="6" t="s">
        <v>67</v>
      </c>
      <c r="B24" s="35" t="n">
        <v>13</v>
      </c>
      <c r="C24" s="6" t="s">
        <v>14</v>
      </c>
      <c r="D24" s="6"/>
    </row>
    <row r="25" customFormat="false" ht="15" hidden="false" customHeight="true" outlineLevel="0" collapsed="false">
      <c r="A25" s="10" t="s">
        <v>505</v>
      </c>
      <c r="B25" s="34" t="n">
        <v>96</v>
      </c>
      <c r="C25" s="10" t="s">
        <v>14</v>
      </c>
      <c r="D25" s="10"/>
    </row>
    <row r="26" customFormat="false" ht="15" hidden="false" customHeight="true" outlineLevel="0" collapsed="false">
      <c r="A26" s="6" t="s">
        <v>521</v>
      </c>
      <c r="B26" s="35" t="n">
        <v>146</v>
      </c>
      <c r="C26" s="6" t="s">
        <v>7</v>
      </c>
      <c r="D26" s="6"/>
    </row>
    <row r="27" customFormat="false" ht="15" hidden="false" customHeight="true" outlineLevel="0" collapsed="false">
      <c r="A27" s="10" t="s">
        <v>534</v>
      </c>
      <c r="B27" s="34" t="n">
        <v>800</v>
      </c>
      <c r="C27" s="10" t="s">
        <v>14</v>
      </c>
      <c r="D27" s="10"/>
    </row>
    <row r="28" customFormat="false" ht="15" hidden="false" customHeight="true" outlineLevel="0" collapsed="false">
      <c r="A28" s="6" t="s">
        <v>384</v>
      </c>
      <c r="B28" s="35" t="n">
        <v>247</v>
      </c>
      <c r="C28" s="6" t="s">
        <v>14</v>
      </c>
      <c r="D28" s="6"/>
    </row>
    <row r="29" customFormat="false" ht="15" hidden="false" customHeight="true" outlineLevel="0" collapsed="false">
      <c r="A29" s="10" t="s">
        <v>535</v>
      </c>
      <c r="B29" s="34" t="n">
        <v>250</v>
      </c>
      <c r="C29" s="10" t="s">
        <v>14</v>
      </c>
      <c r="D29" s="10"/>
    </row>
    <row r="30" customFormat="false" ht="15" hidden="false" customHeight="true" outlineLevel="0" collapsed="false">
      <c r="A30" s="6" t="s">
        <v>444</v>
      </c>
      <c r="B30" s="35" t="n">
        <v>95</v>
      </c>
      <c r="C30" s="6" t="s">
        <v>7</v>
      </c>
      <c r="D30" s="6"/>
    </row>
    <row r="31" customFormat="false" ht="15" hidden="false" customHeight="true" outlineLevel="0" collapsed="false">
      <c r="A31" s="10" t="s">
        <v>536</v>
      </c>
      <c r="B31" s="34" t="n">
        <v>76</v>
      </c>
      <c r="C31" s="10" t="s">
        <v>14</v>
      </c>
      <c r="D31" s="10"/>
    </row>
    <row r="32" customFormat="false" ht="15" hidden="false" customHeight="true" outlineLevel="0" collapsed="false">
      <c r="A32" s="6" t="s">
        <v>537</v>
      </c>
      <c r="B32" s="35" t="n">
        <v>142</v>
      </c>
      <c r="C32" s="6" t="s">
        <v>7</v>
      </c>
      <c r="D32" s="6"/>
    </row>
    <row r="33" customFormat="false" ht="15" hidden="false" customHeight="true" outlineLevel="0" collapsed="false">
      <c r="A33" s="10"/>
      <c r="B33" s="34"/>
      <c r="C33" s="10"/>
      <c r="D33" s="10"/>
    </row>
    <row r="34" customFormat="false" ht="15" hidden="false" customHeight="true" outlineLevel="0" collapsed="false">
      <c r="A34" s="6"/>
      <c r="B34" s="35"/>
      <c r="C34" s="6"/>
      <c r="D34" s="6"/>
    </row>
    <row r="35" customFormat="false" ht="15" hidden="false" customHeight="true" outlineLevel="0" collapsed="false">
      <c r="A35" s="10"/>
      <c r="B35" s="34"/>
      <c r="C35" s="10"/>
      <c r="D35" s="10"/>
    </row>
    <row r="36" customFormat="false" ht="15" hidden="false" customHeight="true" outlineLevel="0" collapsed="false">
      <c r="A36" s="6"/>
      <c r="B36" s="35"/>
      <c r="C36" s="6"/>
      <c r="D36" s="6"/>
    </row>
    <row r="37" customFormat="false" ht="15" hidden="false" customHeight="true" outlineLevel="0" collapsed="false">
      <c r="A37" s="10"/>
      <c r="B37" s="34"/>
      <c r="C37" s="10"/>
      <c r="D37" s="10"/>
    </row>
    <row r="38" customFormat="false" ht="15" hidden="false" customHeight="true" outlineLevel="0" collapsed="false">
      <c r="A38" s="18" t="s">
        <v>38</v>
      </c>
      <c r="B38" s="36" t="n">
        <f aca="false">SUM(B11:B37)</f>
        <v>5426.75</v>
      </c>
      <c r="C38" s="18"/>
      <c r="D38" s="18"/>
    </row>
    <row r="39" customFormat="false" ht="6" hidden="false" customHeight="true" outlineLevel="0" collapsed="false"/>
    <row r="40" customFormat="false" ht="15" hidden="false" customHeight="true" outlineLevel="0" collapsed="false">
      <c r="A40" s="20" t="s">
        <v>39</v>
      </c>
      <c r="B40" s="20"/>
      <c r="C40" s="20"/>
      <c r="D40" s="20"/>
    </row>
    <row r="41" customFormat="false" ht="15" hidden="false" customHeight="true" outlineLevel="0" collapsed="false">
      <c r="A41" s="21" t="s">
        <v>40</v>
      </c>
      <c r="B41" s="37" t="n">
        <f aca="false">B7</f>
        <v>0</v>
      </c>
      <c r="C41" s="23"/>
      <c r="D41" s="23"/>
    </row>
    <row r="42" customFormat="false" ht="15" hidden="false" customHeight="true" outlineLevel="0" collapsed="false">
      <c r="A42" s="24" t="s">
        <v>41</v>
      </c>
      <c r="B42" s="38" t="n">
        <f aca="false">B38</f>
        <v>5426.75</v>
      </c>
      <c r="C42" s="26"/>
      <c r="D42" s="26"/>
    </row>
    <row r="43" customFormat="false" ht="15" hidden="false" customHeight="true" outlineLevel="0" collapsed="false">
      <c r="A43" s="27" t="s">
        <v>42</v>
      </c>
      <c r="B43" s="39" t="n">
        <f aca="false">B41-B42</f>
        <v>-5426.75</v>
      </c>
      <c r="C43" s="29"/>
      <c r="D43" s="29"/>
    </row>
  </sheetData>
  <mergeCells count="7">
    <mergeCell ref="A1:D1"/>
    <mergeCell ref="A3:D3"/>
    <mergeCell ref="A9:D9"/>
    <mergeCell ref="A40:D40"/>
    <mergeCell ref="C41:D41"/>
    <mergeCell ref="C42:D42"/>
    <mergeCell ref="C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538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262</v>
      </c>
      <c r="B11" s="34" t="n">
        <v>7</v>
      </c>
      <c r="C11" s="10" t="s">
        <v>7</v>
      </c>
      <c r="D11" s="10" t="s">
        <v>263</v>
      </c>
    </row>
    <row r="12" customFormat="false" ht="15" hidden="false" customHeight="true" outlineLevel="0" collapsed="false">
      <c r="A12" s="6" t="s">
        <v>539</v>
      </c>
      <c r="B12" s="35" t="n">
        <v>292</v>
      </c>
      <c r="C12" s="6" t="s">
        <v>14</v>
      </c>
      <c r="D12" s="6"/>
    </row>
    <row r="13" customFormat="false" ht="15" hidden="false" customHeight="true" outlineLevel="0" collapsed="false">
      <c r="A13" s="10" t="s">
        <v>78</v>
      </c>
      <c r="B13" s="34" t="n">
        <v>790</v>
      </c>
      <c r="C13" s="10" t="s">
        <v>14</v>
      </c>
      <c r="D13" s="10"/>
    </row>
    <row r="14" customFormat="false" ht="15" hidden="false" customHeight="true" outlineLevel="0" collapsed="false">
      <c r="A14" s="6" t="s">
        <v>218</v>
      </c>
      <c r="B14" s="35" t="n">
        <v>92</v>
      </c>
      <c r="C14" s="6" t="s">
        <v>14</v>
      </c>
      <c r="D14" s="6"/>
    </row>
    <row r="15" customFormat="false" ht="15" hidden="false" customHeight="true" outlineLevel="0" collapsed="false">
      <c r="A15" s="10" t="s">
        <v>424</v>
      </c>
      <c r="B15" s="34" t="n">
        <v>266</v>
      </c>
      <c r="C15" s="10" t="s">
        <v>7</v>
      </c>
      <c r="D15" s="10"/>
    </row>
    <row r="16" customFormat="false" ht="15" hidden="false" customHeight="true" outlineLevel="0" collapsed="false">
      <c r="A16" s="6" t="s">
        <v>540</v>
      </c>
      <c r="B16" s="35" t="n">
        <v>337</v>
      </c>
      <c r="C16" s="6" t="s">
        <v>14</v>
      </c>
      <c r="D16" s="6"/>
    </row>
    <row r="17" customFormat="false" ht="15" hidden="false" customHeight="true" outlineLevel="0" collapsed="false">
      <c r="A17" s="10" t="s">
        <v>274</v>
      </c>
      <c r="B17" s="34" t="n">
        <v>887</v>
      </c>
      <c r="C17" s="10" t="s">
        <v>14</v>
      </c>
      <c r="D17" s="10"/>
    </row>
    <row r="18" customFormat="false" ht="15" hidden="false" customHeight="true" outlineLevel="0" collapsed="false">
      <c r="A18" s="6" t="s">
        <v>17</v>
      </c>
      <c r="B18" s="35" t="n">
        <v>127</v>
      </c>
      <c r="C18" s="6" t="s">
        <v>14</v>
      </c>
      <c r="D18" s="6"/>
    </row>
    <row r="19" customFormat="false" ht="15" hidden="false" customHeight="true" outlineLevel="0" collapsed="false">
      <c r="A19" s="10" t="s">
        <v>31</v>
      </c>
      <c r="B19" s="34" t="n">
        <v>100</v>
      </c>
      <c r="C19" s="10" t="s">
        <v>14</v>
      </c>
      <c r="D19" s="10"/>
    </row>
    <row r="20" customFormat="false" ht="15" hidden="false" customHeight="true" outlineLevel="0" collapsed="false">
      <c r="A20" s="6" t="s">
        <v>33</v>
      </c>
      <c r="B20" s="35" t="n">
        <v>200</v>
      </c>
      <c r="C20" s="6" t="s">
        <v>14</v>
      </c>
      <c r="D20" s="6"/>
    </row>
    <row r="21" customFormat="false" ht="15" hidden="false" customHeight="true" outlineLevel="0" collapsed="false">
      <c r="A21" s="10" t="s">
        <v>16</v>
      </c>
      <c r="B21" s="34" t="n">
        <v>85</v>
      </c>
      <c r="C21" s="10" t="s">
        <v>14</v>
      </c>
      <c r="D21" s="10"/>
    </row>
    <row r="22" customFormat="false" ht="15" hidden="false" customHeight="true" outlineLevel="0" collapsed="false">
      <c r="A22" s="6" t="s">
        <v>67</v>
      </c>
      <c r="B22" s="35" t="n">
        <v>14</v>
      </c>
      <c r="C22" s="6" t="s">
        <v>14</v>
      </c>
      <c r="D22" s="6"/>
    </row>
    <row r="23" customFormat="false" ht="15" hidden="false" customHeight="true" outlineLevel="0" collapsed="false">
      <c r="A23" s="10" t="s">
        <v>541</v>
      </c>
      <c r="B23" s="34" t="n">
        <v>146</v>
      </c>
      <c r="C23" s="10" t="s">
        <v>7</v>
      </c>
      <c r="D23" s="10"/>
    </row>
    <row r="24" customFormat="false" ht="15" hidden="false" customHeight="true" outlineLevel="0" collapsed="false">
      <c r="A24" s="6" t="s">
        <v>542</v>
      </c>
      <c r="B24" s="35" t="n">
        <v>48</v>
      </c>
      <c r="C24" s="6" t="s">
        <v>14</v>
      </c>
      <c r="D24" s="6"/>
    </row>
    <row r="25" customFormat="false" ht="15" hidden="false" customHeight="true" outlineLevel="0" collapsed="false">
      <c r="A25" s="10" t="s">
        <v>543</v>
      </c>
      <c r="B25" s="34" t="n">
        <v>105</v>
      </c>
      <c r="C25" s="10" t="s">
        <v>14</v>
      </c>
      <c r="D25" s="10"/>
    </row>
    <row r="26" customFormat="false" ht="15" hidden="false" customHeight="true" outlineLevel="0" collapsed="false">
      <c r="A26" s="6" t="s">
        <v>384</v>
      </c>
      <c r="B26" s="35" t="n">
        <v>270</v>
      </c>
      <c r="C26" s="6" t="s">
        <v>14</v>
      </c>
      <c r="D26" s="6"/>
    </row>
    <row r="27" customFormat="false" ht="15" hidden="false" customHeight="true" outlineLevel="0" collapsed="false">
      <c r="A27" s="10" t="s">
        <v>87</v>
      </c>
      <c r="B27" s="34" t="n">
        <v>49</v>
      </c>
      <c r="C27" s="10" t="s">
        <v>10</v>
      </c>
      <c r="D27" s="10"/>
    </row>
    <row r="28" customFormat="false" ht="15" hidden="false" customHeight="true" outlineLevel="0" collapsed="false">
      <c r="A28" s="6" t="s">
        <v>122</v>
      </c>
      <c r="B28" s="35" t="n">
        <v>91</v>
      </c>
      <c r="C28" s="6" t="s">
        <v>14</v>
      </c>
      <c r="D28" s="6"/>
    </row>
    <row r="29" customFormat="false" ht="15" hidden="false" customHeight="true" outlineLevel="0" collapsed="false">
      <c r="A29" s="10"/>
      <c r="B29" s="34"/>
      <c r="C29" s="10"/>
      <c r="D29" s="10"/>
    </row>
    <row r="30" customFormat="false" ht="15" hidden="false" customHeight="true" outlineLevel="0" collapsed="false">
      <c r="A30" s="6"/>
      <c r="B30" s="35"/>
      <c r="C30" s="6"/>
      <c r="D30" s="6"/>
    </row>
    <row r="31" customFormat="false" ht="15" hidden="false" customHeight="true" outlineLevel="0" collapsed="false">
      <c r="A31" s="10"/>
      <c r="B31" s="34"/>
      <c r="C31" s="10"/>
      <c r="D31" s="10"/>
    </row>
    <row r="32" customFormat="false" ht="15" hidden="false" customHeight="true" outlineLevel="0" collapsed="false">
      <c r="A32" s="6"/>
      <c r="B32" s="35"/>
      <c r="C32" s="6"/>
      <c r="D32" s="6"/>
    </row>
    <row r="33" customFormat="false" ht="15" hidden="false" customHeight="true" outlineLevel="0" collapsed="false">
      <c r="A33" s="10"/>
      <c r="B33" s="34"/>
      <c r="C33" s="10"/>
      <c r="D33" s="10"/>
    </row>
    <row r="34" customFormat="false" ht="15" hidden="false" customHeight="true" outlineLevel="0" collapsed="false">
      <c r="A34" s="18" t="s">
        <v>38</v>
      </c>
      <c r="B34" s="36" t="n">
        <f aca="false">SUM(B11:B33)</f>
        <v>3906</v>
      </c>
      <c r="C34" s="18"/>
      <c r="D34" s="18"/>
    </row>
    <row r="35" customFormat="false" ht="6" hidden="false" customHeight="true" outlineLevel="0" collapsed="false"/>
    <row r="36" customFormat="false" ht="15" hidden="false" customHeight="true" outlineLevel="0" collapsed="false">
      <c r="A36" s="20" t="s">
        <v>39</v>
      </c>
      <c r="B36" s="20"/>
      <c r="C36" s="20"/>
      <c r="D36" s="20"/>
    </row>
    <row r="37" customFormat="false" ht="15" hidden="false" customHeight="true" outlineLevel="0" collapsed="false">
      <c r="A37" s="21" t="s">
        <v>40</v>
      </c>
      <c r="B37" s="37" t="n">
        <f aca="false">B7</f>
        <v>0</v>
      </c>
      <c r="C37" s="23"/>
      <c r="D37" s="23"/>
    </row>
    <row r="38" customFormat="false" ht="15" hidden="false" customHeight="true" outlineLevel="0" collapsed="false">
      <c r="A38" s="24" t="s">
        <v>41</v>
      </c>
      <c r="B38" s="38" t="n">
        <f aca="false">B34</f>
        <v>3906</v>
      </c>
      <c r="C38" s="26"/>
      <c r="D38" s="26"/>
    </row>
    <row r="39" customFormat="false" ht="15" hidden="false" customHeight="true" outlineLevel="0" collapsed="false">
      <c r="A39" s="27" t="s">
        <v>42</v>
      </c>
      <c r="B39" s="39" t="n">
        <f aca="false">B37-B38</f>
        <v>-3906</v>
      </c>
      <c r="C39" s="29"/>
      <c r="D39" s="29"/>
    </row>
  </sheetData>
  <mergeCells count="7">
    <mergeCell ref="A1:D1"/>
    <mergeCell ref="A3:D3"/>
    <mergeCell ref="A9:D9"/>
    <mergeCell ref="A36:D36"/>
    <mergeCell ref="C37:D37"/>
    <mergeCell ref="C38:D38"/>
    <mergeCell ref="C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544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262</v>
      </c>
      <c r="B11" s="34" t="n">
        <v>7</v>
      </c>
      <c r="C11" s="10" t="s">
        <v>7</v>
      </c>
      <c r="D11" s="10" t="s">
        <v>545</v>
      </c>
    </row>
    <row r="12" customFormat="false" ht="15" hidden="false" customHeight="true" outlineLevel="0" collapsed="false">
      <c r="A12" s="6" t="s">
        <v>546</v>
      </c>
      <c r="B12" s="35" t="n">
        <v>674</v>
      </c>
      <c r="C12" s="6" t="s">
        <v>14</v>
      </c>
      <c r="D12" s="6" t="s">
        <v>547</v>
      </c>
    </row>
    <row r="13" customFormat="false" ht="15" hidden="false" customHeight="true" outlineLevel="0" collapsed="false">
      <c r="A13" s="10" t="s">
        <v>548</v>
      </c>
      <c r="B13" s="34" t="n">
        <v>292</v>
      </c>
      <c r="C13" s="10" t="s">
        <v>14</v>
      </c>
      <c r="D13" s="10"/>
    </row>
    <row r="14" customFormat="false" ht="15" hidden="false" customHeight="true" outlineLevel="0" collapsed="false">
      <c r="A14" s="6" t="s">
        <v>78</v>
      </c>
      <c r="B14" s="35" t="n">
        <v>140</v>
      </c>
      <c r="C14" s="6" t="s">
        <v>7</v>
      </c>
      <c r="D14" s="6"/>
    </row>
    <row r="15" customFormat="false" ht="15" hidden="false" customHeight="true" outlineLevel="0" collapsed="false">
      <c r="A15" s="10" t="s">
        <v>218</v>
      </c>
      <c r="B15" s="34" t="n">
        <v>92</v>
      </c>
      <c r="C15" s="10" t="s">
        <v>14</v>
      </c>
      <c r="D15" s="10"/>
    </row>
    <row r="16" customFormat="false" ht="15" hidden="false" customHeight="true" outlineLevel="0" collapsed="false">
      <c r="A16" s="6" t="s">
        <v>424</v>
      </c>
      <c r="B16" s="35" t="n">
        <v>266</v>
      </c>
      <c r="C16" s="6" t="s">
        <v>7</v>
      </c>
      <c r="D16" s="6"/>
    </row>
    <row r="17" customFormat="false" ht="15" hidden="false" customHeight="true" outlineLevel="0" collapsed="false">
      <c r="A17" s="10" t="s">
        <v>549</v>
      </c>
      <c r="B17" s="34" t="n">
        <v>337</v>
      </c>
      <c r="C17" s="10" t="s">
        <v>14</v>
      </c>
      <c r="D17" s="10"/>
    </row>
    <row r="18" customFormat="false" ht="15" hidden="false" customHeight="true" outlineLevel="0" collapsed="false">
      <c r="A18" s="6" t="s">
        <v>274</v>
      </c>
      <c r="B18" s="35" t="n">
        <v>865</v>
      </c>
      <c r="C18" s="6" t="s">
        <v>14</v>
      </c>
      <c r="D18" s="6"/>
    </row>
    <row r="19" customFormat="false" ht="15" hidden="false" customHeight="true" outlineLevel="0" collapsed="false">
      <c r="A19" s="10" t="s">
        <v>17</v>
      </c>
      <c r="B19" s="34" t="n">
        <v>127</v>
      </c>
      <c r="C19" s="10" t="s">
        <v>14</v>
      </c>
      <c r="D19" s="10"/>
    </row>
    <row r="20" customFormat="false" ht="15" hidden="false" customHeight="true" outlineLevel="0" collapsed="false">
      <c r="A20" s="6" t="s">
        <v>31</v>
      </c>
      <c r="B20" s="35" t="n">
        <v>100</v>
      </c>
      <c r="C20" s="6" t="s">
        <v>14</v>
      </c>
      <c r="D20" s="6"/>
    </row>
    <row r="21" customFormat="false" ht="15" hidden="false" customHeight="true" outlineLevel="0" collapsed="false">
      <c r="A21" s="10" t="s">
        <v>33</v>
      </c>
      <c r="B21" s="34" t="n">
        <v>213</v>
      </c>
      <c r="C21" s="10" t="s">
        <v>14</v>
      </c>
      <c r="D21" s="10"/>
    </row>
    <row r="22" customFormat="false" ht="15" hidden="false" customHeight="true" outlineLevel="0" collapsed="false">
      <c r="A22" s="6" t="s">
        <v>16</v>
      </c>
      <c r="B22" s="35" t="n">
        <v>88</v>
      </c>
      <c r="C22" s="6" t="s">
        <v>14</v>
      </c>
      <c r="D22" s="6"/>
    </row>
    <row r="23" customFormat="false" ht="15" hidden="false" customHeight="true" outlineLevel="0" collapsed="false">
      <c r="A23" s="10" t="s">
        <v>67</v>
      </c>
      <c r="B23" s="34" t="n">
        <v>14</v>
      </c>
      <c r="C23" s="10" t="s">
        <v>14</v>
      </c>
      <c r="D23" s="10"/>
    </row>
    <row r="24" customFormat="false" ht="15" hidden="false" customHeight="true" outlineLevel="0" collapsed="false">
      <c r="A24" s="6" t="s">
        <v>541</v>
      </c>
      <c r="B24" s="35" t="n">
        <v>146</v>
      </c>
      <c r="C24" s="6" t="s">
        <v>7</v>
      </c>
      <c r="D24" s="6"/>
    </row>
    <row r="25" customFormat="false" ht="15" hidden="false" customHeight="true" outlineLevel="0" collapsed="false">
      <c r="A25" s="10" t="s">
        <v>550</v>
      </c>
      <c r="B25" s="34" t="n">
        <v>62</v>
      </c>
      <c r="C25" s="10" t="s">
        <v>14</v>
      </c>
      <c r="D25" s="10"/>
    </row>
    <row r="26" customFormat="false" ht="15" hidden="false" customHeight="true" outlineLevel="0" collapsed="false">
      <c r="A26" s="6" t="s">
        <v>543</v>
      </c>
      <c r="B26" s="35" t="n">
        <v>105</v>
      </c>
      <c r="C26" s="6" t="s">
        <v>14</v>
      </c>
      <c r="D26" s="6"/>
    </row>
    <row r="27" customFormat="false" ht="15" hidden="false" customHeight="true" outlineLevel="0" collapsed="false">
      <c r="A27" s="10" t="s">
        <v>551</v>
      </c>
      <c r="B27" s="34" t="n">
        <v>182</v>
      </c>
      <c r="C27" s="10" t="s">
        <v>14</v>
      </c>
      <c r="D27" s="10"/>
    </row>
    <row r="28" customFormat="false" ht="15" hidden="false" customHeight="true" outlineLevel="0" collapsed="false">
      <c r="A28" s="6" t="s">
        <v>552</v>
      </c>
      <c r="B28" s="35" t="n">
        <v>750</v>
      </c>
      <c r="C28" s="6" t="s">
        <v>14</v>
      </c>
      <c r="D28" s="6"/>
    </row>
    <row r="29" customFormat="false" ht="15" hidden="false" customHeight="true" outlineLevel="0" collapsed="false">
      <c r="A29" s="10" t="s">
        <v>384</v>
      </c>
      <c r="B29" s="34" t="n">
        <v>400</v>
      </c>
      <c r="C29" s="10" t="s">
        <v>14</v>
      </c>
      <c r="D29" s="10"/>
    </row>
    <row r="30" customFormat="false" ht="15" hidden="false" customHeight="true" outlineLevel="0" collapsed="false">
      <c r="A30" s="6" t="s">
        <v>553</v>
      </c>
      <c r="B30" s="35" t="n">
        <v>178</v>
      </c>
      <c r="C30" s="6" t="s">
        <v>14</v>
      </c>
      <c r="D30" s="6"/>
    </row>
    <row r="31" customFormat="false" ht="15" hidden="false" customHeight="true" outlineLevel="0" collapsed="false">
      <c r="A31" s="10" t="s">
        <v>554</v>
      </c>
      <c r="B31" s="34" t="n">
        <v>35</v>
      </c>
      <c r="C31" s="10" t="s">
        <v>14</v>
      </c>
      <c r="D31" s="10"/>
    </row>
    <row r="32" customFormat="false" ht="15" hidden="false" customHeight="true" outlineLevel="0" collapsed="false">
      <c r="A32" s="6"/>
      <c r="B32" s="35"/>
      <c r="C32" s="6"/>
      <c r="D32" s="6"/>
    </row>
    <row r="33" customFormat="false" ht="15" hidden="false" customHeight="true" outlineLevel="0" collapsed="false">
      <c r="A33" s="10"/>
      <c r="B33" s="34"/>
      <c r="C33" s="10"/>
      <c r="D33" s="10"/>
    </row>
    <row r="34" customFormat="false" ht="15" hidden="false" customHeight="true" outlineLevel="0" collapsed="false">
      <c r="A34" s="6"/>
      <c r="B34" s="35"/>
      <c r="C34" s="6"/>
      <c r="D34" s="6"/>
    </row>
    <row r="35" customFormat="false" ht="15" hidden="false" customHeight="true" outlineLevel="0" collapsed="false">
      <c r="A35" s="10"/>
      <c r="B35" s="34"/>
      <c r="C35" s="10"/>
      <c r="D35" s="10"/>
    </row>
    <row r="36" customFormat="false" ht="15" hidden="false" customHeight="true" outlineLevel="0" collapsed="false">
      <c r="A36" s="6"/>
      <c r="B36" s="35"/>
      <c r="C36" s="6"/>
      <c r="D36" s="6"/>
    </row>
    <row r="37" customFormat="false" ht="15" hidden="false" customHeight="true" outlineLevel="0" collapsed="false">
      <c r="A37" s="18" t="s">
        <v>38</v>
      </c>
      <c r="B37" s="36" t="n">
        <f aca="false">SUM(B11:B36)</f>
        <v>5073</v>
      </c>
      <c r="C37" s="18"/>
      <c r="D37" s="18"/>
    </row>
    <row r="38" customFormat="false" ht="6" hidden="false" customHeight="true" outlineLevel="0" collapsed="false"/>
    <row r="39" customFormat="false" ht="15" hidden="false" customHeight="true" outlineLevel="0" collapsed="false">
      <c r="A39" s="20" t="s">
        <v>39</v>
      </c>
      <c r="B39" s="20"/>
      <c r="C39" s="20"/>
      <c r="D39" s="20"/>
    </row>
    <row r="40" customFormat="false" ht="15" hidden="false" customHeight="true" outlineLevel="0" collapsed="false">
      <c r="A40" s="21" t="s">
        <v>40</v>
      </c>
      <c r="B40" s="37" t="n">
        <f aca="false">B7</f>
        <v>0</v>
      </c>
      <c r="C40" s="23"/>
      <c r="D40" s="23"/>
    </row>
    <row r="41" customFormat="false" ht="15" hidden="false" customHeight="true" outlineLevel="0" collapsed="false">
      <c r="A41" s="24" t="s">
        <v>41</v>
      </c>
      <c r="B41" s="38" t="n">
        <f aca="false">B37</f>
        <v>5073</v>
      </c>
      <c r="C41" s="26"/>
      <c r="D41" s="26"/>
    </row>
    <row r="42" customFormat="false" ht="15" hidden="false" customHeight="true" outlineLevel="0" collapsed="false">
      <c r="A42" s="27" t="s">
        <v>42</v>
      </c>
      <c r="B42" s="39" t="n">
        <f aca="false">B40-B41</f>
        <v>-5073</v>
      </c>
      <c r="C42" s="29"/>
      <c r="D42" s="29"/>
    </row>
  </sheetData>
  <mergeCells count="7">
    <mergeCell ref="A1:D1"/>
    <mergeCell ref="A3:D3"/>
    <mergeCell ref="A9:D9"/>
    <mergeCell ref="A39:D39"/>
    <mergeCell ref="C40:D40"/>
    <mergeCell ref="C41:D41"/>
    <mergeCell ref="C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555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205</v>
      </c>
      <c r="B11" s="34" t="n">
        <v>7</v>
      </c>
      <c r="C11" s="10" t="s">
        <v>7</v>
      </c>
      <c r="D11" s="10"/>
    </row>
    <row r="12" customFormat="false" ht="15" hidden="false" customHeight="true" outlineLevel="0" collapsed="false">
      <c r="A12" s="6" t="s">
        <v>556</v>
      </c>
      <c r="B12" s="35" t="n">
        <v>292</v>
      </c>
      <c r="C12" s="6" t="s">
        <v>14</v>
      </c>
      <c r="D12" s="6"/>
    </row>
    <row r="13" customFormat="false" ht="15" hidden="false" customHeight="true" outlineLevel="0" collapsed="false">
      <c r="A13" s="10" t="s">
        <v>557</v>
      </c>
      <c r="B13" s="34" t="n">
        <v>337</v>
      </c>
      <c r="C13" s="10" t="s">
        <v>14</v>
      </c>
      <c r="D13" s="10"/>
    </row>
    <row r="14" customFormat="false" ht="15" hidden="false" customHeight="true" outlineLevel="0" collapsed="false">
      <c r="A14" s="6" t="s">
        <v>78</v>
      </c>
      <c r="B14" s="35" t="n">
        <v>190</v>
      </c>
      <c r="C14" s="6" t="s">
        <v>7</v>
      </c>
      <c r="D14" s="6"/>
    </row>
    <row r="15" customFormat="false" ht="15" hidden="false" customHeight="true" outlineLevel="0" collapsed="false">
      <c r="A15" s="10" t="s">
        <v>218</v>
      </c>
      <c r="B15" s="34" t="n">
        <v>92</v>
      </c>
      <c r="C15" s="10" t="s">
        <v>14</v>
      </c>
      <c r="D15" s="10"/>
    </row>
    <row r="16" customFormat="false" ht="15" hidden="false" customHeight="true" outlineLevel="0" collapsed="false">
      <c r="A16" s="6" t="s">
        <v>274</v>
      </c>
      <c r="B16" s="35" t="n">
        <v>910</v>
      </c>
      <c r="C16" s="6" t="s">
        <v>14</v>
      </c>
      <c r="D16" s="6"/>
    </row>
    <row r="17" customFormat="false" ht="15" hidden="false" customHeight="true" outlineLevel="0" collapsed="false">
      <c r="A17" s="10" t="s">
        <v>17</v>
      </c>
      <c r="B17" s="34" t="n">
        <v>127</v>
      </c>
      <c r="C17" s="10" t="s">
        <v>14</v>
      </c>
      <c r="D17" s="10"/>
    </row>
    <row r="18" customFormat="false" ht="15" hidden="false" customHeight="true" outlineLevel="0" collapsed="false">
      <c r="A18" s="6" t="s">
        <v>31</v>
      </c>
      <c r="B18" s="35" t="n">
        <v>100</v>
      </c>
      <c r="C18" s="6" t="s">
        <v>14</v>
      </c>
      <c r="D18" s="6"/>
    </row>
    <row r="19" customFormat="false" ht="15" hidden="false" customHeight="true" outlineLevel="0" collapsed="false">
      <c r="A19" s="10" t="s">
        <v>33</v>
      </c>
      <c r="B19" s="34" t="n">
        <v>200</v>
      </c>
      <c r="C19" s="10" t="s">
        <v>14</v>
      </c>
      <c r="D19" s="10"/>
    </row>
    <row r="20" customFormat="false" ht="15" hidden="false" customHeight="true" outlineLevel="0" collapsed="false">
      <c r="A20" s="6" t="s">
        <v>16</v>
      </c>
      <c r="B20" s="35" t="n">
        <v>88</v>
      </c>
      <c r="C20" s="6" t="s">
        <v>14</v>
      </c>
      <c r="D20" s="6"/>
    </row>
    <row r="21" customFormat="false" ht="15" hidden="false" customHeight="true" outlineLevel="0" collapsed="false">
      <c r="A21" s="10" t="s">
        <v>67</v>
      </c>
      <c r="B21" s="34" t="n">
        <v>14</v>
      </c>
      <c r="C21" s="10" t="s">
        <v>14</v>
      </c>
      <c r="D21" s="10"/>
    </row>
    <row r="22" customFormat="false" ht="15" hidden="false" customHeight="true" outlineLevel="0" collapsed="false">
      <c r="A22" s="6" t="s">
        <v>541</v>
      </c>
      <c r="B22" s="35" t="n">
        <v>146</v>
      </c>
      <c r="C22" s="6" t="s">
        <v>7</v>
      </c>
      <c r="D22" s="6"/>
    </row>
    <row r="23" customFormat="false" ht="15" hidden="false" customHeight="true" outlineLevel="0" collapsed="false">
      <c r="A23" s="10" t="s">
        <v>558</v>
      </c>
      <c r="B23" s="34" t="n">
        <v>62</v>
      </c>
      <c r="C23" s="10" t="s">
        <v>14</v>
      </c>
      <c r="D23" s="10"/>
    </row>
    <row r="24" customFormat="false" ht="15" hidden="false" customHeight="true" outlineLevel="0" collapsed="false">
      <c r="A24" s="6" t="s">
        <v>543</v>
      </c>
      <c r="B24" s="35" t="n">
        <v>105</v>
      </c>
      <c r="C24" s="6" t="s">
        <v>14</v>
      </c>
      <c r="D24" s="6"/>
    </row>
    <row r="25" customFormat="false" ht="15" hidden="false" customHeight="true" outlineLevel="0" collapsed="false">
      <c r="A25" s="10" t="s">
        <v>553</v>
      </c>
      <c r="B25" s="34" t="n">
        <v>90</v>
      </c>
      <c r="C25" s="10" t="s">
        <v>14</v>
      </c>
      <c r="D25" s="10"/>
    </row>
    <row r="26" customFormat="false" ht="15" hidden="false" customHeight="true" outlineLevel="0" collapsed="false">
      <c r="A26" s="6" t="s">
        <v>384</v>
      </c>
      <c r="B26" s="35" t="n">
        <v>77</v>
      </c>
      <c r="C26" s="6" t="s">
        <v>14</v>
      </c>
      <c r="D26" s="6"/>
    </row>
    <row r="27" customFormat="false" ht="15" hidden="false" customHeight="true" outlineLevel="0" collapsed="false">
      <c r="A27" s="10"/>
      <c r="B27" s="34"/>
      <c r="C27" s="10"/>
      <c r="D27" s="10"/>
    </row>
    <row r="28" customFormat="false" ht="15" hidden="false" customHeight="true" outlineLevel="0" collapsed="false">
      <c r="A28" s="6"/>
      <c r="B28" s="35"/>
      <c r="C28" s="6"/>
      <c r="D28" s="6"/>
    </row>
    <row r="29" customFormat="false" ht="15" hidden="false" customHeight="true" outlineLevel="0" collapsed="false">
      <c r="A29" s="10"/>
      <c r="B29" s="34"/>
      <c r="C29" s="10"/>
      <c r="D29" s="10"/>
    </row>
    <row r="30" customFormat="false" ht="15" hidden="false" customHeight="true" outlineLevel="0" collapsed="false">
      <c r="A30" s="6"/>
      <c r="B30" s="35"/>
      <c r="C30" s="6"/>
      <c r="D30" s="6"/>
    </row>
    <row r="31" customFormat="false" ht="15" hidden="false" customHeight="true" outlineLevel="0" collapsed="false">
      <c r="A31" s="10"/>
      <c r="B31" s="34"/>
      <c r="C31" s="10"/>
      <c r="D31" s="10"/>
    </row>
    <row r="32" customFormat="false" ht="15" hidden="false" customHeight="true" outlineLevel="0" collapsed="false">
      <c r="A32" s="18" t="s">
        <v>38</v>
      </c>
      <c r="B32" s="36" t="n">
        <f aca="false">SUM(B11:B31)</f>
        <v>2837</v>
      </c>
      <c r="C32" s="18"/>
      <c r="D32" s="18"/>
    </row>
    <row r="33" customFormat="false" ht="6" hidden="false" customHeight="true" outlineLevel="0" collapsed="false"/>
    <row r="34" customFormat="false" ht="15" hidden="false" customHeight="true" outlineLevel="0" collapsed="false">
      <c r="A34" s="20" t="s">
        <v>39</v>
      </c>
      <c r="B34" s="20"/>
      <c r="C34" s="20"/>
      <c r="D34" s="20"/>
    </row>
    <row r="35" customFormat="false" ht="15" hidden="false" customHeight="true" outlineLevel="0" collapsed="false">
      <c r="A35" s="21" t="s">
        <v>40</v>
      </c>
      <c r="B35" s="37" t="n">
        <f aca="false">B7</f>
        <v>0</v>
      </c>
      <c r="C35" s="23"/>
      <c r="D35" s="23"/>
    </row>
    <row r="36" customFormat="false" ht="15" hidden="false" customHeight="true" outlineLevel="0" collapsed="false">
      <c r="A36" s="24" t="s">
        <v>41</v>
      </c>
      <c r="B36" s="38" t="n">
        <f aca="false">B32</f>
        <v>2837</v>
      </c>
      <c r="C36" s="26"/>
      <c r="D36" s="26"/>
    </row>
    <row r="37" customFormat="false" ht="15" hidden="false" customHeight="true" outlineLevel="0" collapsed="false">
      <c r="A37" s="27" t="s">
        <v>42</v>
      </c>
      <c r="B37" s="39" t="n">
        <f aca="false">B35-B36</f>
        <v>-2837</v>
      </c>
      <c r="C37" s="29"/>
      <c r="D37" s="29"/>
    </row>
  </sheetData>
  <mergeCells count="7">
    <mergeCell ref="A1:D1"/>
    <mergeCell ref="A3:D3"/>
    <mergeCell ref="A9:D9"/>
    <mergeCell ref="A34:D34"/>
    <mergeCell ref="C35:D35"/>
    <mergeCell ref="C36:D36"/>
    <mergeCell ref="C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559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205</v>
      </c>
      <c r="B11" s="34" t="n">
        <v>7</v>
      </c>
      <c r="C11" s="10" t="s">
        <v>7</v>
      </c>
      <c r="D11" s="10"/>
    </row>
    <row r="12" customFormat="false" ht="15" hidden="false" customHeight="true" outlineLevel="0" collapsed="false">
      <c r="A12" s="6" t="s">
        <v>560</v>
      </c>
      <c r="B12" s="35" t="n">
        <v>292</v>
      </c>
      <c r="C12" s="6" t="s">
        <v>14</v>
      </c>
      <c r="D12" s="6"/>
    </row>
    <row r="13" customFormat="false" ht="15" hidden="false" customHeight="true" outlineLevel="0" collapsed="false">
      <c r="A13" s="10" t="s">
        <v>561</v>
      </c>
      <c r="B13" s="34" t="n">
        <v>337</v>
      </c>
      <c r="C13" s="10" t="s">
        <v>14</v>
      </c>
      <c r="D13" s="10"/>
    </row>
    <row r="14" customFormat="false" ht="15" hidden="false" customHeight="true" outlineLevel="0" collapsed="false">
      <c r="A14" s="6" t="s">
        <v>78</v>
      </c>
      <c r="B14" s="35" t="n">
        <v>190</v>
      </c>
      <c r="C14" s="6" t="s">
        <v>7</v>
      </c>
      <c r="D14" s="6"/>
    </row>
    <row r="15" customFormat="false" ht="15" hidden="false" customHeight="true" outlineLevel="0" collapsed="false">
      <c r="A15" s="10" t="s">
        <v>218</v>
      </c>
      <c r="B15" s="34" t="n">
        <v>92</v>
      </c>
      <c r="C15" s="10" t="s">
        <v>14</v>
      </c>
      <c r="D15" s="10"/>
    </row>
    <row r="16" customFormat="false" ht="15" hidden="false" customHeight="true" outlineLevel="0" collapsed="false">
      <c r="A16" s="6" t="s">
        <v>274</v>
      </c>
      <c r="B16" s="35" t="n">
        <v>910</v>
      </c>
      <c r="C16" s="6" t="s">
        <v>14</v>
      </c>
      <c r="D16" s="6"/>
    </row>
    <row r="17" customFormat="false" ht="15" hidden="false" customHeight="true" outlineLevel="0" collapsed="false">
      <c r="A17" s="10" t="s">
        <v>17</v>
      </c>
      <c r="B17" s="34" t="n">
        <v>127</v>
      </c>
      <c r="C17" s="10" t="s">
        <v>14</v>
      </c>
      <c r="D17" s="10"/>
    </row>
    <row r="18" customFormat="false" ht="15" hidden="false" customHeight="true" outlineLevel="0" collapsed="false">
      <c r="A18" s="6" t="s">
        <v>31</v>
      </c>
      <c r="B18" s="35" t="n">
        <v>100</v>
      </c>
      <c r="C18" s="6" t="s">
        <v>14</v>
      </c>
      <c r="D18" s="6"/>
    </row>
    <row r="19" customFormat="false" ht="15" hidden="false" customHeight="true" outlineLevel="0" collapsed="false">
      <c r="A19" s="10" t="s">
        <v>33</v>
      </c>
      <c r="B19" s="34" t="n">
        <v>150</v>
      </c>
      <c r="C19" s="10" t="s">
        <v>14</v>
      </c>
      <c r="D19" s="10"/>
    </row>
    <row r="20" customFormat="false" ht="15" hidden="false" customHeight="true" outlineLevel="0" collapsed="false">
      <c r="A20" s="6" t="s">
        <v>16</v>
      </c>
      <c r="B20" s="35" t="n">
        <v>88</v>
      </c>
      <c r="C20" s="6" t="s">
        <v>14</v>
      </c>
      <c r="D20" s="6"/>
    </row>
    <row r="21" customFormat="false" ht="15" hidden="false" customHeight="true" outlineLevel="0" collapsed="false">
      <c r="A21" s="10" t="s">
        <v>67</v>
      </c>
      <c r="B21" s="34" t="n">
        <v>14</v>
      </c>
      <c r="C21" s="10" t="s">
        <v>14</v>
      </c>
      <c r="D21" s="10"/>
    </row>
    <row r="22" customFormat="false" ht="15" hidden="false" customHeight="true" outlineLevel="0" collapsed="false">
      <c r="A22" s="6" t="s">
        <v>541</v>
      </c>
      <c r="B22" s="35" t="n">
        <v>146</v>
      </c>
      <c r="C22" s="6" t="s">
        <v>7</v>
      </c>
      <c r="D22" s="6"/>
    </row>
    <row r="23" customFormat="false" ht="15" hidden="false" customHeight="true" outlineLevel="0" collapsed="false">
      <c r="A23" s="10" t="s">
        <v>558</v>
      </c>
      <c r="B23" s="34" t="n">
        <v>62</v>
      </c>
      <c r="C23" s="10" t="s">
        <v>14</v>
      </c>
      <c r="D23" s="10"/>
    </row>
    <row r="24" customFormat="false" ht="15" hidden="false" customHeight="true" outlineLevel="0" collapsed="false">
      <c r="A24" s="6" t="s">
        <v>562</v>
      </c>
      <c r="B24" s="35" t="n">
        <v>105</v>
      </c>
      <c r="C24" s="6" t="s">
        <v>14</v>
      </c>
      <c r="D24" s="6"/>
    </row>
    <row r="25" customFormat="false" ht="15" hidden="false" customHeight="true" outlineLevel="0" collapsed="false">
      <c r="A25" s="10"/>
      <c r="B25" s="34"/>
      <c r="C25" s="10"/>
      <c r="D25" s="10"/>
    </row>
    <row r="26" customFormat="false" ht="15" hidden="false" customHeight="true" outlineLevel="0" collapsed="false">
      <c r="A26" s="6"/>
      <c r="B26" s="35"/>
      <c r="C26" s="6"/>
      <c r="D26" s="6"/>
    </row>
    <row r="27" customFormat="false" ht="15" hidden="false" customHeight="true" outlineLevel="0" collapsed="false">
      <c r="A27" s="10"/>
      <c r="B27" s="34"/>
      <c r="C27" s="10"/>
      <c r="D27" s="10"/>
    </row>
    <row r="28" customFormat="false" ht="15" hidden="false" customHeight="true" outlineLevel="0" collapsed="false">
      <c r="A28" s="6"/>
      <c r="B28" s="35"/>
      <c r="C28" s="6"/>
      <c r="D28" s="6"/>
    </row>
    <row r="29" customFormat="false" ht="15" hidden="false" customHeight="true" outlineLevel="0" collapsed="false">
      <c r="A29" s="10"/>
      <c r="B29" s="34"/>
      <c r="C29" s="10"/>
      <c r="D29" s="10"/>
    </row>
    <row r="30" customFormat="false" ht="15" hidden="false" customHeight="true" outlineLevel="0" collapsed="false">
      <c r="A30" s="18" t="s">
        <v>38</v>
      </c>
      <c r="B30" s="36" t="n">
        <f aca="false">SUM(B11:B29)</f>
        <v>2620</v>
      </c>
      <c r="C30" s="18"/>
      <c r="D30" s="18"/>
    </row>
    <row r="31" customFormat="false" ht="6" hidden="false" customHeight="true" outlineLevel="0" collapsed="false"/>
    <row r="32" customFormat="false" ht="15" hidden="false" customHeight="true" outlineLevel="0" collapsed="false">
      <c r="A32" s="20" t="s">
        <v>39</v>
      </c>
      <c r="B32" s="20"/>
      <c r="C32" s="20"/>
      <c r="D32" s="20"/>
    </row>
    <row r="33" customFormat="false" ht="15" hidden="false" customHeight="true" outlineLevel="0" collapsed="false">
      <c r="A33" s="21" t="s">
        <v>40</v>
      </c>
      <c r="B33" s="37" t="n">
        <f aca="false">B7</f>
        <v>0</v>
      </c>
      <c r="C33" s="23"/>
      <c r="D33" s="23"/>
    </row>
    <row r="34" customFormat="false" ht="15" hidden="false" customHeight="true" outlineLevel="0" collapsed="false">
      <c r="A34" s="24" t="s">
        <v>41</v>
      </c>
      <c r="B34" s="38" t="n">
        <f aca="false">B30</f>
        <v>2620</v>
      </c>
      <c r="C34" s="26"/>
      <c r="D34" s="26"/>
    </row>
    <row r="35" customFormat="false" ht="15" hidden="false" customHeight="true" outlineLevel="0" collapsed="false">
      <c r="A35" s="27" t="s">
        <v>42</v>
      </c>
      <c r="B35" s="39" t="n">
        <f aca="false">B33-B34</f>
        <v>-2620</v>
      </c>
      <c r="C35" s="29"/>
      <c r="D35" s="29"/>
    </row>
  </sheetData>
  <mergeCells count="7">
    <mergeCell ref="A1:D1"/>
    <mergeCell ref="A3:D3"/>
    <mergeCell ref="A9:D9"/>
    <mergeCell ref="A32:D32"/>
    <mergeCell ref="C33:D33"/>
    <mergeCell ref="C34:D34"/>
    <mergeCell ref="C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32"/>
    <col collapsed="false" customWidth="true" hidden="false" outlineLevel="0" max="2" min="2" style="30" width="15"/>
    <col collapsed="false" customWidth="true" hidden="false" outlineLevel="0" max="3" min="3" style="30" width="14"/>
    <col collapsed="false" customWidth="true" hidden="false" outlineLevel="0" max="4" min="4" style="30" width="18"/>
  </cols>
  <sheetData>
    <row r="1" customFormat="false" ht="31.5" hidden="false" customHeight="true" outlineLevel="0" collapsed="false">
      <c r="A1" s="1" t="s">
        <v>563</v>
      </c>
      <c r="B1" s="1"/>
      <c r="C1" s="1"/>
      <c r="D1" s="1"/>
    </row>
    <row r="2" customFormat="false" ht="6" hidden="false" customHeight="true" outlineLevel="0" collapsed="false"/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31"/>
      <c r="C5" s="6" t="s">
        <v>7</v>
      </c>
      <c r="D5" s="7" t="s">
        <v>8</v>
      </c>
    </row>
    <row r="6" customFormat="false" ht="15" hidden="false" customHeight="true" outlineLevel="0" collapsed="false">
      <c r="A6" s="8" t="s">
        <v>9</v>
      </c>
      <c r="B6" s="32"/>
      <c r="C6" s="10" t="s">
        <v>10</v>
      </c>
      <c r="D6" s="11" t="s">
        <v>8</v>
      </c>
    </row>
    <row r="7" customFormat="false" ht="15" hidden="false" customHeight="true" outlineLevel="0" collapsed="false">
      <c r="A7" s="12" t="s">
        <v>11</v>
      </c>
      <c r="B7" s="33" t="n">
        <f aca="false">SUM(B5:B6)</f>
        <v>0</v>
      </c>
      <c r="C7" s="12"/>
      <c r="D7" s="12"/>
    </row>
    <row r="8" customFormat="false" ht="6" hidden="false" customHeight="true" outlineLevel="0" collapsed="false"/>
    <row r="9" customFormat="false" ht="15" hidden="false" customHeight="true" outlineLevel="0" collapsed="false">
      <c r="A9" s="14" t="s">
        <v>12</v>
      </c>
      <c r="B9" s="14"/>
      <c r="C9" s="14"/>
      <c r="D9" s="14"/>
    </row>
    <row r="10" customFormat="false" ht="15" hidden="false" customHeight="true" outlineLevel="0" collapsed="false">
      <c r="A10" s="15" t="s">
        <v>2</v>
      </c>
      <c r="B10" s="15" t="s">
        <v>3</v>
      </c>
      <c r="C10" s="15" t="s">
        <v>4</v>
      </c>
      <c r="D10" s="15" t="s">
        <v>5</v>
      </c>
    </row>
    <row r="11" customFormat="false" ht="15" hidden="false" customHeight="true" outlineLevel="0" collapsed="false">
      <c r="A11" s="10" t="s">
        <v>564</v>
      </c>
      <c r="B11" s="34" t="n">
        <v>553</v>
      </c>
      <c r="C11" s="10" t="s">
        <v>14</v>
      </c>
      <c r="D11" s="10"/>
    </row>
    <row r="12" customFormat="false" ht="15" hidden="false" customHeight="true" outlineLevel="0" collapsed="false">
      <c r="A12" s="6" t="s">
        <v>565</v>
      </c>
      <c r="B12" s="35" t="n">
        <v>337</v>
      </c>
      <c r="C12" s="6" t="s">
        <v>14</v>
      </c>
      <c r="D12" s="6"/>
    </row>
    <row r="13" customFormat="false" ht="15" hidden="false" customHeight="true" outlineLevel="0" collapsed="false">
      <c r="A13" s="10"/>
      <c r="B13" s="34"/>
      <c r="C13" s="10"/>
      <c r="D13" s="10"/>
    </row>
    <row r="14" customFormat="false" ht="15" hidden="false" customHeight="true" outlineLevel="0" collapsed="false">
      <c r="A14" s="6"/>
      <c r="B14" s="35"/>
      <c r="C14" s="6"/>
      <c r="D14" s="6"/>
    </row>
    <row r="15" customFormat="false" ht="15" hidden="false" customHeight="true" outlineLevel="0" collapsed="false">
      <c r="A15" s="10"/>
      <c r="B15" s="34"/>
      <c r="C15" s="10"/>
      <c r="D15" s="10"/>
    </row>
    <row r="16" customFormat="false" ht="15" hidden="false" customHeight="true" outlineLevel="0" collapsed="false">
      <c r="A16" s="6"/>
      <c r="B16" s="35"/>
      <c r="C16" s="6"/>
      <c r="D16" s="6"/>
    </row>
    <row r="17" customFormat="false" ht="15" hidden="false" customHeight="true" outlineLevel="0" collapsed="false">
      <c r="A17" s="10"/>
      <c r="B17" s="34"/>
      <c r="C17" s="10"/>
      <c r="D17" s="10"/>
    </row>
    <row r="18" customFormat="false" ht="15" hidden="false" customHeight="true" outlineLevel="0" collapsed="false">
      <c r="A18" s="18" t="s">
        <v>38</v>
      </c>
      <c r="B18" s="36" t="n">
        <f aca="false">SUM(B11:B17)</f>
        <v>890</v>
      </c>
      <c r="C18" s="18"/>
      <c r="D18" s="18"/>
    </row>
    <row r="19" customFormat="false" ht="6" hidden="false" customHeight="true" outlineLevel="0" collapsed="false"/>
    <row r="20" customFormat="false" ht="15" hidden="false" customHeight="true" outlineLevel="0" collapsed="false">
      <c r="A20" s="20" t="s">
        <v>39</v>
      </c>
      <c r="B20" s="20"/>
      <c r="C20" s="20"/>
      <c r="D20" s="20"/>
    </row>
    <row r="21" customFormat="false" ht="15" hidden="false" customHeight="true" outlineLevel="0" collapsed="false">
      <c r="A21" s="21" t="s">
        <v>40</v>
      </c>
      <c r="B21" s="37" t="n">
        <f aca="false">B7</f>
        <v>0</v>
      </c>
      <c r="C21" s="23"/>
      <c r="D21" s="23"/>
    </row>
    <row r="22" customFormat="false" ht="15" hidden="false" customHeight="true" outlineLevel="0" collapsed="false">
      <c r="A22" s="24" t="s">
        <v>41</v>
      </c>
      <c r="B22" s="38" t="n">
        <f aca="false">B18</f>
        <v>890</v>
      </c>
      <c r="C22" s="26"/>
      <c r="D22" s="26"/>
    </row>
    <row r="23" customFormat="false" ht="15" hidden="false" customHeight="true" outlineLevel="0" collapsed="false">
      <c r="A23" s="27" t="s">
        <v>42</v>
      </c>
      <c r="B23" s="39" t="n">
        <f aca="false">B21-B22</f>
        <v>-890</v>
      </c>
      <c r="C23" s="29"/>
      <c r="D23" s="29"/>
    </row>
  </sheetData>
  <mergeCells count="7">
    <mergeCell ref="A1:D1"/>
    <mergeCell ref="A3:D3"/>
    <mergeCell ref="A9:D9"/>
    <mergeCell ref="A20:D20"/>
    <mergeCell ref="C21:D21"/>
    <mergeCell ref="C22:D22"/>
    <mergeCell ref="C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16"/>
    <col collapsed="false" customWidth="true" hidden="false" outlineLevel="0" max="13" min="2" style="30" width="10"/>
    <col collapsed="false" customWidth="true" hidden="false" outlineLevel="0" max="14" min="14" style="30" width="13"/>
  </cols>
  <sheetData>
    <row r="1" customFormat="false" ht="15" hidden="false" customHeight="true" outlineLevel="0" collapsed="false">
      <c r="A1" s="1" t="s">
        <v>566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40" t="s">
        <v>567</v>
      </c>
      <c r="B2" s="40" t="s">
        <v>568</v>
      </c>
      <c r="C2" s="40" t="s">
        <v>569</v>
      </c>
      <c r="D2" s="40" t="s">
        <v>570</v>
      </c>
      <c r="E2" s="40" t="s">
        <v>571</v>
      </c>
      <c r="F2" s="40" t="s">
        <v>572</v>
      </c>
      <c r="G2" s="40" t="s">
        <v>573</v>
      </c>
      <c r="H2" s="40" t="s">
        <v>574</v>
      </c>
      <c r="I2" s="40" t="s">
        <v>575</v>
      </c>
      <c r="J2" s="40" t="s">
        <v>576</v>
      </c>
      <c r="K2" s="40" t="s">
        <v>577</v>
      </c>
      <c r="L2" s="40" t="s">
        <v>578</v>
      </c>
      <c r="M2" s="40" t="s">
        <v>579</v>
      </c>
      <c r="N2" s="41" t="s">
        <v>580</v>
      </c>
    </row>
    <row r="3" customFormat="false" ht="15" hidden="false" customHeight="true" outlineLevel="0" collapsed="false">
      <c r="A3" s="42" t="s">
        <v>581</v>
      </c>
      <c r="B3" s="43" t="s">
        <v>582</v>
      </c>
      <c r="C3" s="43" t="s">
        <v>582</v>
      </c>
      <c r="D3" s="43" t="s">
        <v>582</v>
      </c>
      <c r="E3" s="43" t="s">
        <v>582</v>
      </c>
      <c r="F3" s="43" t="s">
        <v>582</v>
      </c>
      <c r="G3" s="43" t="s">
        <v>582</v>
      </c>
      <c r="H3" s="43" t="s">
        <v>582</v>
      </c>
      <c r="I3" s="43" t="s">
        <v>582</v>
      </c>
      <c r="J3" s="43" t="s">
        <v>582</v>
      </c>
      <c r="K3" s="43" t="s">
        <v>582</v>
      </c>
      <c r="L3" s="44" t="n">
        <f aca="false">'Noviembre 2022'!B40</f>
        <v>3087.37</v>
      </c>
      <c r="M3" s="44" t="n">
        <f aca="false">'Diciembre 2022'!B37</f>
        <v>2690.48</v>
      </c>
      <c r="N3" s="45" t="n">
        <f aca="false">SUM(B3:M3)</f>
        <v>5777.85</v>
      </c>
    </row>
    <row r="4" customFormat="false" ht="15" hidden="false" customHeight="true" outlineLevel="0" collapsed="false">
      <c r="A4" s="42" t="s">
        <v>583</v>
      </c>
      <c r="B4" s="44" t="n">
        <f aca="false">'Enero 2023'!B43</f>
        <v>3090.12</v>
      </c>
      <c r="C4" s="44" t="n">
        <f aca="false">'Febrero 2023'!B44</f>
        <v>3206.23</v>
      </c>
      <c r="D4" s="44" t="n">
        <f aca="false">'Marzo 2023'!B45</f>
        <v>3186.62</v>
      </c>
      <c r="E4" s="44" t="n">
        <f aca="false">'Abril 2023'!B44</f>
        <v>3196.99</v>
      </c>
      <c r="F4" s="44" t="n">
        <f aca="false">'Mayo 2023'!B47</f>
        <v>3453.63</v>
      </c>
      <c r="G4" s="44" t="n">
        <f aca="false">'Junio 2023'!B48</f>
        <v>3079.04</v>
      </c>
      <c r="H4" s="44" t="n">
        <f aca="false">'Julio 2023'!B48</f>
        <v>3284.64</v>
      </c>
      <c r="I4" s="44" t="n">
        <f aca="false">'Agosto 2023'!B48</f>
        <v>4071.14</v>
      </c>
      <c r="J4" s="44" t="n">
        <f aca="false">'Septiembre 2023'!B50</f>
        <v>3691.67</v>
      </c>
      <c r="K4" s="44" t="n">
        <f aca="false">'Octubre 2023'!B57</f>
        <v>4493.53</v>
      </c>
      <c r="L4" s="44" t="n">
        <f aca="false">'Noviembre 2023'!B53</f>
        <v>3687.35</v>
      </c>
      <c r="M4" s="44" t="n">
        <f aca="false">'Diciembre 2023'!B53</f>
        <v>3972.16</v>
      </c>
      <c r="N4" s="45" t="n">
        <f aca="false">SUM(B4:M4)</f>
        <v>42413.12</v>
      </c>
    </row>
    <row r="5" customFormat="false" ht="15" hidden="false" customHeight="true" outlineLevel="0" collapsed="false">
      <c r="A5" s="42" t="s">
        <v>584</v>
      </c>
      <c r="B5" s="44" t="n">
        <f aca="false">'Enero 2024'!B53</f>
        <v>4463.68</v>
      </c>
      <c r="C5" s="44" t="n">
        <f aca="false">'Febrero 2024'!B52</f>
        <v>4785.5</v>
      </c>
      <c r="D5" s="44" t="n">
        <f aca="false">'Marzo 2024'!B48</f>
        <v>4997.31</v>
      </c>
      <c r="E5" s="44" t="n">
        <f aca="false">'Abril 2024'!B44</f>
        <v>3892</v>
      </c>
      <c r="F5" s="44" t="n">
        <f aca="false">'Mayo 2024'!B45</f>
        <v>4233.26</v>
      </c>
      <c r="G5" s="44" t="n">
        <f aca="false">'Junio 2024'!B48</f>
        <v>4000.27</v>
      </c>
      <c r="H5" s="44" t="n">
        <f aca="false">'Julio 2024'!B46</f>
        <v>4269.7</v>
      </c>
      <c r="I5" s="44" t="n">
        <f aca="false">'Agosto 2024'!B43</f>
        <v>3734.13</v>
      </c>
      <c r="J5" s="44" t="n">
        <f aca="false">'Septiembre 2024'!B46</f>
        <v>4380.06</v>
      </c>
      <c r="K5" s="44" t="n">
        <f aca="false">'Octubre 2024'!B43</f>
        <v>4262.95</v>
      </c>
      <c r="L5" s="44" t="n">
        <f aca="false">'Noviembre 2024'!B43</f>
        <v>4025.25</v>
      </c>
      <c r="M5" s="44" t="n">
        <f aca="false">'Diciembre 2024'!B41</f>
        <v>3418.72</v>
      </c>
      <c r="N5" s="45" t="n">
        <f aca="false">SUM(B5:M5)</f>
        <v>50462.83</v>
      </c>
    </row>
    <row r="6" customFormat="false" ht="15" hidden="false" customHeight="true" outlineLevel="0" collapsed="false">
      <c r="A6" s="42" t="s">
        <v>585</v>
      </c>
      <c r="B6" s="44" t="n">
        <f aca="false">'Enero 2025'!B41</f>
        <v>4056.89</v>
      </c>
      <c r="C6" s="44" t="n">
        <f aca="false">'Febrero 2025'!B39</f>
        <v>3889.19</v>
      </c>
      <c r="D6" s="44" t="n">
        <f aca="false">'Marzo 2025'!B35</f>
        <v>3603.37</v>
      </c>
      <c r="E6" s="44" t="n">
        <f aca="false">'Abril 2025'!B40</f>
        <v>3665.73</v>
      </c>
      <c r="F6" s="44" t="n">
        <f aca="false">'Mayo 2025'!B34</f>
        <v>3820.58</v>
      </c>
      <c r="G6" s="44" t="n">
        <f aca="false">'Junio 2025'!B37</f>
        <v>3544.09</v>
      </c>
      <c r="H6" s="44" t="n">
        <f aca="false">'Julio 2025'!B34</f>
        <v>3914.86</v>
      </c>
      <c r="I6" s="44" t="n">
        <f aca="false">'Agosto 2025'!B32</f>
        <v>3606.58</v>
      </c>
      <c r="J6" s="44" t="n">
        <f aca="false">'Septiembre 2025'!B38</f>
        <v>4411</v>
      </c>
      <c r="K6" s="44" t="n">
        <f aca="false">'Octubre 2025'!B33</f>
        <v>3224.31</v>
      </c>
      <c r="L6" s="44" t="n">
        <f aca="false">'Noviembre 2025'!B35</f>
        <v>3254.13</v>
      </c>
      <c r="M6" s="44" t="n">
        <f aca="false">'Diciembre 2025'!B38</f>
        <v>5426.75</v>
      </c>
      <c r="N6" s="45" t="n">
        <f aca="false">SUM(B6:M6)</f>
        <v>46417.48</v>
      </c>
    </row>
    <row r="7" customFormat="false" ht="15" hidden="false" customHeight="true" outlineLevel="0" collapsed="false">
      <c r="A7" s="42" t="s">
        <v>586</v>
      </c>
      <c r="B7" s="44" t="n">
        <f aca="false">'Enero 2026'!B34</f>
        <v>3906</v>
      </c>
      <c r="C7" s="44" t="n">
        <f aca="false">'Febrero 2026'!B37</f>
        <v>5073</v>
      </c>
      <c r="D7" s="44" t="n">
        <f aca="false">'Marzo 2026'!B32</f>
        <v>2837</v>
      </c>
      <c r="E7" s="44" t="n">
        <f aca="false">'Abril 2026'!B30</f>
        <v>2620</v>
      </c>
      <c r="F7" s="44" t="n">
        <f aca="false">'Mayo 2026'!B18</f>
        <v>890</v>
      </c>
      <c r="G7" s="46" t="s">
        <v>582</v>
      </c>
      <c r="H7" s="46" t="s">
        <v>582</v>
      </c>
      <c r="I7" s="46" t="s">
        <v>582</v>
      </c>
      <c r="J7" s="46" t="s">
        <v>582</v>
      </c>
      <c r="K7" s="46" t="s">
        <v>582</v>
      </c>
      <c r="L7" s="46" t="s">
        <v>582</v>
      </c>
      <c r="M7" s="46" t="s">
        <v>582</v>
      </c>
      <c r="N7" s="45" t="n">
        <f aca="false">SUM(B7:M7)</f>
        <v>15326</v>
      </c>
    </row>
    <row r="8" customFormat="false" ht="15" hidden="false" customHeight="true" outlineLevel="0" collapsed="false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</row>
    <row r="9" customFormat="false" ht="15" hidden="false" customHeight="true" outlineLevel="0" collapsed="false">
      <c r="A9" s="3" t="s">
        <v>567</v>
      </c>
      <c r="B9" s="49" t="s">
        <v>568</v>
      </c>
      <c r="C9" s="49" t="s">
        <v>569</v>
      </c>
      <c r="D9" s="49" t="s">
        <v>570</v>
      </c>
      <c r="E9" s="49" t="s">
        <v>571</v>
      </c>
      <c r="F9" s="49" t="s">
        <v>572</v>
      </c>
      <c r="G9" s="49" t="s">
        <v>573</v>
      </c>
      <c r="H9" s="49" t="s">
        <v>574</v>
      </c>
      <c r="I9" s="49" t="s">
        <v>575</v>
      </c>
      <c r="J9" s="49" t="s">
        <v>576</v>
      </c>
      <c r="K9" s="49" t="s">
        <v>577</v>
      </c>
      <c r="L9" s="49" t="s">
        <v>578</v>
      </c>
      <c r="M9" s="49" t="s">
        <v>579</v>
      </c>
      <c r="N9" s="50" t="s">
        <v>587</v>
      </c>
    </row>
    <row r="10" customFormat="false" ht="15" hidden="false" customHeight="true" outlineLevel="0" collapsed="false">
      <c r="A10" s="42" t="s">
        <v>581</v>
      </c>
      <c r="B10" s="43" t="s">
        <v>582</v>
      </c>
      <c r="C10" s="43" t="s">
        <v>582</v>
      </c>
      <c r="D10" s="43" t="s">
        <v>582</v>
      </c>
      <c r="E10" s="43" t="s">
        <v>582</v>
      </c>
      <c r="F10" s="43" t="s">
        <v>582</v>
      </c>
      <c r="G10" s="46" t="s">
        <v>582</v>
      </c>
      <c r="H10" s="46" t="s">
        <v>582</v>
      </c>
      <c r="I10" s="46" t="s">
        <v>582</v>
      </c>
      <c r="J10" s="46" t="s">
        <v>582</v>
      </c>
      <c r="K10" s="46" t="s">
        <v>582</v>
      </c>
      <c r="L10" s="44" t="n">
        <f aca="false">'Noviembre 2022'!B45</f>
        <v>-3087.37</v>
      </c>
      <c r="M10" s="44" t="n">
        <f aca="false">'Diciembre 2022'!B42</f>
        <v>-2690.48</v>
      </c>
      <c r="N10" s="51" t="n">
        <f aca="false">SUM(B10:M10)</f>
        <v>-5777.85</v>
      </c>
    </row>
    <row r="11" customFormat="false" ht="15" hidden="false" customHeight="false" outlineLevel="0" collapsed="false">
      <c r="A11" s="42" t="s">
        <v>583</v>
      </c>
      <c r="B11" s="44" t="n">
        <f aca="false">'Enero 2023'!B48</f>
        <v>-3090.12</v>
      </c>
      <c r="C11" s="44" t="n">
        <f aca="false">'Febrero 2023'!B49</f>
        <v>-3206.23</v>
      </c>
      <c r="D11" s="44" t="n">
        <f aca="false">'Marzo 2023'!B50</f>
        <v>-3186.62</v>
      </c>
      <c r="E11" s="44" t="n">
        <f aca="false">'Abril 2023'!B49</f>
        <v>-3196.99</v>
      </c>
      <c r="F11" s="44" t="n">
        <f aca="false">'Mayo 2023'!B52</f>
        <v>-3453.63</v>
      </c>
      <c r="G11" s="44" t="n">
        <f aca="false">'Junio 2023'!B53</f>
        <v>-3079.04</v>
      </c>
      <c r="H11" s="44" t="n">
        <f aca="false">'Julio 2023'!B53</f>
        <v>-3284.64</v>
      </c>
      <c r="I11" s="44" t="n">
        <f aca="false">'Agosto 2023'!B53</f>
        <v>-4071.14</v>
      </c>
      <c r="J11" s="44" t="n">
        <f aca="false">'Septiembre 2023'!B55</f>
        <v>-3691.67</v>
      </c>
      <c r="K11" s="44" t="n">
        <f aca="false">'Octubre 2023'!B62</f>
        <v>-4493.53</v>
      </c>
      <c r="L11" s="44" t="n">
        <f aca="false">'Noviembre 2023'!B58</f>
        <v>-3687.35</v>
      </c>
      <c r="M11" s="44" t="n">
        <f aca="false">'Diciembre 2023'!B58</f>
        <v>-3972.16</v>
      </c>
      <c r="N11" s="51" t="n">
        <f aca="false">SUM(B11:M11)</f>
        <v>-42413.12</v>
      </c>
    </row>
    <row r="12" customFormat="false" ht="15" hidden="false" customHeight="false" outlineLevel="0" collapsed="false">
      <c r="A12" s="42" t="s">
        <v>584</v>
      </c>
      <c r="B12" s="44" t="n">
        <f aca="false">'Enero 2024'!B58</f>
        <v>-4463.68</v>
      </c>
      <c r="C12" s="44" t="n">
        <f aca="false">'Febrero 2024'!B57</f>
        <v>-4785.5</v>
      </c>
      <c r="D12" s="44" t="n">
        <f aca="false">'Marzo 2024'!B53</f>
        <v>-4997.31</v>
      </c>
      <c r="E12" s="44" t="n">
        <f aca="false">'Abril 2024'!B49</f>
        <v>-3892</v>
      </c>
      <c r="F12" s="44" t="n">
        <f aca="false">'Mayo 2024'!B50</f>
        <v>-4233.26</v>
      </c>
      <c r="G12" s="44" t="n">
        <f aca="false">'Junio 2024'!B53</f>
        <v>-4000.27</v>
      </c>
      <c r="H12" s="44" t="n">
        <f aca="false">'Julio 2024'!B51</f>
        <v>-4269.7</v>
      </c>
      <c r="I12" s="44" t="n">
        <f aca="false">'Agosto 2024'!B48</f>
        <v>-3734.13</v>
      </c>
      <c r="J12" s="44" t="n">
        <f aca="false">'Septiembre 2024'!B51</f>
        <v>-4380.06</v>
      </c>
      <c r="K12" s="44" t="n">
        <f aca="false">'Octubre 2024'!B48</f>
        <v>-4262.95</v>
      </c>
      <c r="L12" s="44" t="n">
        <f aca="false">'Noviembre 2024'!B48</f>
        <v>-4025.25</v>
      </c>
      <c r="M12" s="44" t="n">
        <f aca="false">'Diciembre 2024'!B46</f>
        <v>-3418.72</v>
      </c>
      <c r="N12" s="51" t="n">
        <f aca="false">SUM(B12:M12)</f>
        <v>-50462.83</v>
      </c>
    </row>
    <row r="13" customFormat="false" ht="15" hidden="false" customHeight="false" outlineLevel="0" collapsed="false">
      <c r="A13" s="42" t="s">
        <v>585</v>
      </c>
      <c r="B13" s="44" t="n">
        <f aca="false">'Enero 2025'!B46</f>
        <v>-4056.89</v>
      </c>
      <c r="C13" s="44" t="n">
        <f aca="false">'Febrero 2025'!B44</f>
        <v>-3889.19</v>
      </c>
      <c r="D13" s="44" t="n">
        <f aca="false">'Marzo 2025'!B40</f>
        <v>-3603.37</v>
      </c>
      <c r="E13" s="44" t="n">
        <f aca="false">'Abril 2025'!B45</f>
        <v>-3665.73</v>
      </c>
      <c r="F13" s="44" t="n">
        <f aca="false">'Mayo 2025'!B39</f>
        <v>-3820.58</v>
      </c>
      <c r="G13" s="44" t="n">
        <f aca="false">'Junio 2025'!B42</f>
        <v>-3544.09</v>
      </c>
      <c r="H13" s="44" t="n">
        <f aca="false">'Julio 2025'!B39</f>
        <v>-3914.86</v>
      </c>
      <c r="I13" s="44" t="n">
        <f aca="false">'Agosto 2025'!B37</f>
        <v>-3606.58</v>
      </c>
      <c r="J13" s="44" t="n">
        <f aca="false">'Septiembre 2025'!B43</f>
        <v>-4411</v>
      </c>
      <c r="K13" s="44" t="n">
        <f aca="false">'Octubre 2025'!B38</f>
        <v>-3224.31</v>
      </c>
      <c r="L13" s="44" t="n">
        <f aca="false">'Noviembre 2025'!B40</f>
        <v>-3254.13</v>
      </c>
      <c r="M13" s="44" t="n">
        <f aca="false">'Diciembre 2025'!B43</f>
        <v>-5426.75</v>
      </c>
      <c r="N13" s="51" t="n">
        <f aca="false">SUM(B13:M13)</f>
        <v>-46417.48</v>
      </c>
    </row>
    <row r="14" customFormat="false" ht="15" hidden="false" customHeight="false" outlineLevel="0" collapsed="false">
      <c r="A14" s="42" t="s">
        <v>586</v>
      </c>
      <c r="B14" s="44" t="n">
        <f aca="false">'Enero 2026'!B39</f>
        <v>-3906</v>
      </c>
      <c r="C14" s="44" t="n">
        <f aca="false">'Febrero 2026'!B42</f>
        <v>-5073</v>
      </c>
      <c r="D14" s="44" t="n">
        <f aca="false">'Marzo 2026'!B37</f>
        <v>-2837</v>
      </c>
      <c r="E14" s="44" t="n">
        <f aca="false">'Abril 2026'!B35</f>
        <v>-2620</v>
      </c>
      <c r="F14" s="44" t="n">
        <f aca="false">'Mayo 2026'!B23</f>
        <v>-890</v>
      </c>
      <c r="G14" s="46" t="s">
        <v>582</v>
      </c>
      <c r="H14" s="46" t="s">
        <v>582</v>
      </c>
      <c r="I14" s="46" t="s">
        <v>582</v>
      </c>
      <c r="J14" s="46" t="s">
        <v>582</v>
      </c>
      <c r="K14" s="46" t="s">
        <v>582</v>
      </c>
      <c r="L14" s="46" t="s">
        <v>582</v>
      </c>
      <c r="M14" s="46" t="s">
        <v>582</v>
      </c>
      <c r="N14" s="51" t="n">
        <f aca="false">SUM(B14:M14)</f>
        <v>-15326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28"/>
    <col collapsed="false" customWidth="true" hidden="false" outlineLevel="0" max="2" min="2" style="30" width="14"/>
    <col collapsed="false" customWidth="true" hidden="false" outlineLevel="0" max="4" min="3" style="30" width="16"/>
    <col collapsed="false" customWidth="true" hidden="false" outlineLevel="0" max="5" min="5" style="30" width="14"/>
  </cols>
  <sheetData>
    <row r="1" customFormat="false" ht="15" hidden="false" customHeight="true" outlineLevel="0" collapsed="false">
      <c r="A1" s="1" t="s">
        <v>588</v>
      </c>
      <c r="B1" s="1"/>
      <c r="C1" s="1"/>
      <c r="D1" s="1"/>
      <c r="E1" s="1"/>
    </row>
    <row r="2" customFormat="false" ht="15" hidden="false" customHeight="true" outlineLevel="0" collapsed="false">
      <c r="A2" s="40" t="s">
        <v>2</v>
      </c>
      <c r="B2" s="40" t="s">
        <v>589</v>
      </c>
      <c r="C2" s="40" t="s">
        <v>590</v>
      </c>
      <c r="D2" s="40" t="s">
        <v>4</v>
      </c>
      <c r="E2" s="40" t="s">
        <v>591</v>
      </c>
    </row>
    <row r="3" customFormat="false" ht="15" hidden="false" customHeight="true" outlineLevel="0" collapsed="false">
      <c r="A3" s="10" t="s">
        <v>592</v>
      </c>
      <c r="B3" s="34" t="n">
        <v>292</v>
      </c>
      <c r="C3" s="10" t="s">
        <v>593</v>
      </c>
      <c r="D3" s="10" t="s">
        <v>14</v>
      </c>
      <c r="E3" s="52" t="s">
        <v>594</v>
      </c>
    </row>
    <row r="4" customFormat="false" ht="15" hidden="false" customHeight="true" outlineLevel="0" collapsed="false">
      <c r="A4" s="6" t="s">
        <v>595</v>
      </c>
      <c r="B4" s="35" t="n">
        <v>337</v>
      </c>
      <c r="C4" s="6" t="s">
        <v>593</v>
      </c>
      <c r="D4" s="6" t="s">
        <v>14</v>
      </c>
      <c r="E4" s="52" t="s">
        <v>594</v>
      </c>
    </row>
    <row r="5" customFormat="false" ht="15" hidden="false" customHeight="true" outlineLevel="0" collapsed="false">
      <c r="A5" s="10" t="s">
        <v>274</v>
      </c>
      <c r="B5" s="34" t="n">
        <v>910</v>
      </c>
      <c r="C5" s="10" t="s">
        <v>593</v>
      </c>
      <c r="D5" s="10" t="s">
        <v>14</v>
      </c>
      <c r="E5" s="52" t="s">
        <v>594</v>
      </c>
    </row>
    <row r="6" customFormat="false" ht="15" hidden="false" customHeight="true" outlineLevel="0" collapsed="false">
      <c r="A6" s="6" t="s">
        <v>31</v>
      </c>
      <c r="B6" s="35" t="n">
        <v>100</v>
      </c>
      <c r="C6" s="6" t="s">
        <v>593</v>
      </c>
      <c r="D6" s="6" t="s">
        <v>14</v>
      </c>
      <c r="E6" s="52" t="s">
        <v>594</v>
      </c>
    </row>
    <row r="7" customFormat="false" ht="15" hidden="false" customHeight="true" outlineLevel="0" collapsed="false">
      <c r="A7" s="10" t="s">
        <v>424</v>
      </c>
      <c r="B7" s="34" t="n">
        <v>266</v>
      </c>
      <c r="C7" s="10" t="s">
        <v>593</v>
      </c>
      <c r="D7" s="10" t="s">
        <v>7</v>
      </c>
      <c r="E7" s="52" t="s">
        <v>594</v>
      </c>
    </row>
    <row r="8" customFormat="false" ht="15" hidden="false" customHeight="true" outlineLevel="0" collapsed="false">
      <c r="A8" s="6" t="s">
        <v>67</v>
      </c>
      <c r="B8" s="35" t="n">
        <v>14</v>
      </c>
      <c r="C8" s="6" t="s">
        <v>593</v>
      </c>
      <c r="D8" s="6" t="s">
        <v>14</v>
      </c>
      <c r="E8" s="52" t="s">
        <v>594</v>
      </c>
    </row>
    <row r="9" customFormat="false" ht="15" hidden="false" customHeight="true" outlineLevel="0" collapsed="false">
      <c r="A9" s="10" t="s">
        <v>541</v>
      </c>
      <c r="B9" s="34" t="n">
        <v>146</v>
      </c>
      <c r="C9" s="10" t="s">
        <v>593</v>
      </c>
      <c r="D9" s="10" t="s">
        <v>7</v>
      </c>
      <c r="E9" s="52" t="s">
        <v>594</v>
      </c>
    </row>
    <row r="10" customFormat="false" ht="15" hidden="false" customHeight="true" outlineLevel="0" collapsed="false">
      <c r="A10" s="6" t="s">
        <v>543</v>
      </c>
      <c r="B10" s="35" t="n">
        <v>105</v>
      </c>
      <c r="C10" s="6" t="s">
        <v>593</v>
      </c>
      <c r="D10" s="6" t="s">
        <v>14</v>
      </c>
      <c r="E10" s="52" t="s">
        <v>594</v>
      </c>
    </row>
    <row r="11" customFormat="false" ht="15" hidden="false" customHeight="true" outlineLevel="0" collapsed="false">
      <c r="A11" s="10" t="s">
        <v>262</v>
      </c>
      <c r="B11" s="34" t="n">
        <v>7</v>
      </c>
      <c r="C11" s="10" t="s">
        <v>596</v>
      </c>
      <c r="D11" s="10" t="s">
        <v>7</v>
      </c>
      <c r="E11" s="52" t="s">
        <v>594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65"/>
  </cols>
  <sheetData>
    <row r="1" customFormat="false" ht="15" hidden="false" customHeight="true" outlineLevel="0" collapsed="false">
      <c r="A1" s="53" t="s">
        <v>597</v>
      </c>
    </row>
    <row r="2" customFormat="false" ht="21.75" hidden="false" customHeight="true" outlineLevel="0" collapsed="false">
      <c r="A2" s="27" t="s">
        <v>598</v>
      </c>
    </row>
    <row r="3" customFormat="false" ht="36" hidden="false" customHeight="true" outlineLevel="0" collapsed="false">
      <c r="A3" s="54" t="s">
        <v>599</v>
      </c>
    </row>
    <row r="5" customFormat="false" ht="21.75" hidden="false" customHeight="true" outlineLevel="0" collapsed="false">
      <c r="A5" s="27" t="s">
        <v>600</v>
      </c>
    </row>
    <row r="6" customFormat="false" ht="36" hidden="false" customHeight="true" outlineLevel="0" collapsed="false">
      <c r="A6" s="54" t="s">
        <v>601</v>
      </c>
    </row>
    <row r="8" customFormat="false" ht="21.75" hidden="false" customHeight="true" outlineLevel="0" collapsed="false">
      <c r="A8" s="27" t="s">
        <v>602</v>
      </c>
    </row>
    <row r="9" customFormat="false" ht="36" hidden="false" customHeight="true" outlineLevel="0" collapsed="false">
      <c r="A9" s="54" t="s">
        <v>603</v>
      </c>
    </row>
    <row r="11" customFormat="false" ht="21.75" hidden="false" customHeight="true" outlineLevel="0" collapsed="false">
      <c r="A11" s="27" t="s">
        <v>604</v>
      </c>
    </row>
    <row r="12" customFormat="false" ht="36" hidden="false" customHeight="true" outlineLevel="0" collapsed="false">
      <c r="A12" s="54" t="s">
        <v>605</v>
      </c>
    </row>
    <row r="14" customFormat="false" ht="21.75" hidden="false" customHeight="true" outlineLevel="0" collapsed="false">
      <c r="A14" s="27" t="s">
        <v>606</v>
      </c>
    </row>
    <row r="15" customFormat="false" ht="36" hidden="false" customHeight="true" outlineLevel="0" collapsed="false">
      <c r="A15" s="54" t="s">
        <v>607</v>
      </c>
    </row>
    <row r="17" customFormat="false" ht="21.75" hidden="false" customHeight="true" outlineLevel="0" collapsed="false">
      <c r="A17" s="27" t="s">
        <v>608</v>
      </c>
    </row>
    <row r="18" customFormat="false" ht="36" hidden="false" customHeight="true" outlineLevel="0" collapsed="false">
      <c r="A18" s="54" t="s">
        <v>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2026-03-22T14:52:23Z</dcterms:created>
  <dc:creator>openpyxl</dc:creator>
  <dc:description/>
  <dc:language>en-US</dc:language>
  <cp:lastModifiedBy/>
  <dcterms:modified xsi:type="dcterms:W3CDTF">2026-03-22T15:08:59Z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